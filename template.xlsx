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3 ПЕТР\102. ПРОРЕПЛАСТ\АНАЛИЗ\"/>
    </mc:Choice>
  </mc:AlternateContent>
  <xr:revisionPtr revIDLastSave="0" documentId="13_ncr:1_{EC698C03-BB3D-463A-80A3-58842581A220}" xr6:coauthVersionLast="47" xr6:coauthVersionMax="47" xr10:uidLastSave="{00000000-0000-0000-0000-000000000000}"/>
  <bookViews>
    <workbookView xWindow="-120" yWindow="-120" windowWidth="29040" windowHeight="15840" tabRatio="951" activeTab="5" xr2:uid="{00000000-000D-0000-FFFF-FFFF00000000}"/>
  </bookViews>
  <sheets>
    <sheet name="общая информация" sheetId="1" r:id="rId1"/>
    <sheet name="Книга покупок" sheetId="2" r:id="rId2"/>
    <sheet name="Книга продаж" sheetId="4" r:id="rId3"/>
    <sheet name="свод.продажи" sheetId="5" r:id="rId4"/>
    <sheet name="свод.покупки" sheetId="6" r:id="rId5"/>
    <sheet name="справка" sheetId="3" r:id="rId6"/>
  </sheets>
  <definedNames>
    <definedName name="_xlnm._FilterDatabase" localSheetId="1" hidden="1">'Книга покупок'!$A$5:$L$1208</definedName>
    <definedName name="_xlnm._FilterDatabase" localSheetId="2" hidden="1">'Книга продаж'!$A$5:$K$575</definedName>
    <definedName name="_xlnm._FilterDatabase" localSheetId="4" hidden="1">свод.покупки!$A$4:$C$393</definedName>
    <definedName name="_xlnm._FilterDatabase" localSheetId="3" hidden="1">свод.продажи!$A$4:$D$147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4" i="4" l="1"/>
  <c r="I574" i="4"/>
  <c r="K573" i="4"/>
  <c r="K575" i="4" s="1"/>
  <c r="J573" i="4"/>
  <c r="I573" i="4"/>
  <c r="I575" i="4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K1208" i="2"/>
  <c r="K1207" i="2"/>
  <c r="J1207" i="2"/>
  <c r="K1206" i="2"/>
  <c r="J1206" i="2"/>
  <c r="J1208" i="2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7" i="2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V10" i="1"/>
  <c r="V6" i="1"/>
  <c r="V5" i="1"/>
</calcChain>
</file>

<file path=xl/sharedStrings.xml><?xml version="1.0" encoding="utf-8"?>
<sst xmlns="http://schemas.openxmlformats.org/spreadsheetml/2006/main" count="14272" uniqueCount="2581">
  <si>
    <t>Данные налоговых деклараций</t>
  </si>
  <si>
    <t>КНИГА ПОКУПОК</t>
  </si>
  <si>
    <t>2 кв. 2021г.</t>
  </si>
  <si>
    <t>3 кв. 2021г.</t>
  </si>
  <si>
    <t>4 кв. 2021г.</t>
  </si>
  <si>
    <t>1 кв. 2022г.</t>
  </si>
  <si>
    <t>2 кв. 2022г.</t>
  </si>
  <si>
    <t>3 кв. 2022г.</t>
  </si>
  <si>
    <t>4 кв. 2022г.</t>
  </si>
  <si>
    <t>1 кв. 2023г.</t>
  </si>
  <si>
    <t>2 кв. 2023г.</t>
  </si>
  <si>
    <t>3 кв. 2023г.</t>
  </si>
  <si>
    <t>4 кв. 2023г.</t>
  </si>
  <si>
    <t>1 кв. 2024г.</t>
  </si>
  <si>
    <t>2 кв. 2024г.</t>
  </si>
  <si>
    <t>3 кв. 2024г.</t>
  </si>
  <si>
    <t>4 кв. 2024г.</t>
  </si>
  <si>
    <t>1 кв. 2025г.</t>
  </si>
  <si>
    <t>2 кв. 2025г.</t>
  </si>
  <si>
    <t>3 кв. 2025г.</t>
  </si>
  <si>
    <t>4 кв. 2025г.</t>
  </si>
  <si>
    <t>весь период</t>
  </si>
  <si>
    <t>реализация за период, руб.</t>
  </si>
  <si>
    <t>в т.ч. НДС, руб.</t>
  </si>
  <si>
    <t>общие данные за период, руб.</t>
  </si>
  <si>
    <t>КНИГА ПРОДАЖ</t>
  </si>
  <si>
    <t>НДС к уплате, руб.</t>
  </si>
  <si>
    <t>налоговая нагрузка, %</t>
  </si>
  <si>
    <t>декларация</t>
  </si>
  <si>
    <t>перв</t>
  </si>
  <si>
    <t>корр1</t>
  </si>
  <si>
    <t>корр2</t>
  </si>
  <si>
    <t>дата сдачи</t>
  </si>
  <si>
    <t xml:space="preserve">Сведения из книги покупок об операциях, отражаемых за истекший налоговый период </t>
  </si>
  <si>
    <t>ИНН, КПП</t>
  </si>
  <si>
    <t>5042156009/504201001</t>
  </si>
  <si>
    <t/>
  </si>
  <si>
    <t>Наименование</t>
  </si>
  <si>
    <t>ООО"ПРП"</t>
  </si>
  <si>
    <t>СФ</t>
  </si>
  <si>
    <t>Сведения о продавце</t>
  </si>
  <si>
    <t>№
(стр. 005)</t>
  </si>
  <si>
    <t>налоговый период</t>
  </si>
  <si>
    <t>Код вида операции
(стр. 010)</t>
  </si>
  <si>
    <t>№
(стр. 020)</t>
  </si>
  <si>
    <t>Дата
(стр. 030)</t>
  </si>
  <si>
    <t>Дата принятия на учет
(стр. 120)</t>
  </si>
  <si>
    <t>ИНН
(стр. 130)</t>
  </si>
  <si>
    <t>КПП
(стр. 130)</t>
  </si>
  <si>
    <t>Стоимость покупок с НДС
(стр. 170)</t>
  </si>
  <si>
    <t>Сумма НДС
(стр. 180)</t>
  </si>
  <si>
    <t>Сведения о посреднике</t>
  </si>
  <si>
    <t>2 кв. 2021</t>
  </si>
  <si>
    <t>01</t>
  </si>
  <si>
    <t>222</t>
  </si>
  <si>
    <t>26.04.2021</t>
  </si>
  <si>
    <t>5036172700</t>
  </si>
  <si>
    <t>503601001</t>
  </si>
  <si>
    <t>ООО "НОВАЯ ВОЛНА"</t>
  </si>
  <si>
    <t>065/2021-0026400</t>
  </si>
  <si>
    <t>03.06.2021</t>
  </si>
  <si>
    <t>5029069967</t>
  </si>
  <si>
    <t>997150001</t>
  </si>
  <si>
    <t>ООО "ЛЕ МОНЛИД"</t>
  </si>
  <si>
    <t>3 кв. 2021</t>
  </si>
  <si>
    <t>260</t>
  </si>
  <si>
    <t>05.07.2021</t>
  </si>
  <si>
    <t>5050120581</t>
  </si>
  <si>
    <t>505001001</t>
  </si>
  <si>
    <t>ООО "ХИМСПЕЦ"</t>
  </si>
  <si>
    <t>420</t>
  </si>
  <si>
    <t>22</t>
  </si>
  <si>
    <t>А2</t>
  </si>
  <si>
    <t>01.07.2021</t>
  </si>
  <si>
    <t>5042156009</t>
  </si>
  <si>
    <t>504201001</t>
  </si>
  <si>
    <t>97</t>
  </si>
  <si>
    <t>09.07.2021</t>
  </si>
  <si>
    <t>7447274893</t>
  </si>
  <si>
    <t>503201001</t>
  </si>
  <si>
    <t>ООО "ПАРАЛЛЕЛЬ"</t>
  </si>
  <si>
    <t>2146630000001</t>
  </si>
  <si>
    <t>12.07.2021</t>
  </si>
  <si>
    <t>7802819968</t>
  </si>
  <si>
    <t>780201001</t>
  </si>
  <si>
    <t>ООО "АТИ-МЕДИА"</t>
  </si>
  <si>
    <t>70В</t>
  </si>
  <si>
    <t>16.07.2021</t>
  </si>
  <si>
    <t>6140006532</t>
  </si>
  <si>
    <t>614001001</t>
  </si>
  <si>
    <t>ООО "ВТОРМА"</t>
  </si>
  <si>
    <t>851769</t>
  </si>
  <si>
    <t>7718979307</t>
  </si>
  <si>
    <t>504245002</t>
  </si>
  <si>
    <t>ООО "СИТИЛИНК"</t>
  </si>
  <si>
    <t>2550</t>
  </si>
  <si>
    <t>18.07.2021</t>
  </si>
  <si>
    <t>6320050611</t>
  </si>
  <si>
    <t>632001001</t>
  </si>
  <si>
    <t>ООО ГК "ЛОГТРЕЙД"</t>
  </si>
  <si>
    <t>2415743-МСК</t>
  </si>
  <si>
    <t>20.07.2021</t>
  </si>
  <si>
    <t>7722753969</t>
  </si>
  <si>
    <t>997750001</t>
  </si>
  <si>
    <t>ООО "ВСЕИНСТРУМЕНТЫ.РУ"</t>
  </si>
  <si>
    <t>2415757-МСК</t>
  </si>
  <si>
    <t>2415724-МСК</t>
  </si>
  <si>
    <t>А1</t>
  </si>
  <si>
    <t>25.05.2021</t>
  </si>
  <si>
    <t>117</t>
  </si>
  <si>
    <t>30.07.2021</t>
  </si>
  <si>
    <t>7139</t>
  </si>
  <si>
    <t>02.08.2021</t>
  </si>
  <si>
    <t>0276162440</t>
  </si>
  <si>
    <t>027301001</t>
  </si>
  <si>
    <t>ООО "ТД "КРЕЗОЛ"</t>
  </si>
  <si>
    <t>А3</t>
  </si>
  <si>
    <t>2715882-МСК</t>
  </si>
  <si>
    <t>10.08.2021</t>
  </si>
  <si>
    <t>2715871-МСК</t>
  </si>
  <si>
    <t>065/2021-0040329</t>
  </si>
  <si>
    <t>13.08.2021</t>
  </si>
  <si>
    <t>18</t>
  </si>
  <si>
    <t>16.08.2021</t>
  </si>
  <si>
    <t>5904357155</t>
  </si>
  <si>
    <t>590501001</t>
  </si>
  <si>
    <t>ООО "КРАЙПРОМ"</t>
  </si>
  <si>
    <t>34</t>
  </si>
  <si>
    <t>24.08.2021</t>
  </si>
  <si>
    <t>2013800544</t>
  </si>
  <si>
    <t>201401001</t>
  </si>
  <si>
    <t>ООО "ЭКОЛОГИЧЕСКАЯ КОРПОРАЦИЯ"</t>
  </si>
  <si>
    <t>99</t>
  </si>
  <si>
    <t>25.08.2021</t>
  </si>
  <si>
    <t>5244032711</t>
  </si>
  <si>
    <t>524401001</t>
  </si>
  <si>
    <t>ООО "ТРАНСПОРТНАЯ КОМПАНИЯ ВИЛЕРА"</t>
  </si>
  <si>
    <t>13</t>
  </si>
  <si>
    <t>5029230503</t>
  </si>
  <si>
    <t>502901001</t>
  </si>
  <si>
    <t>ООО "100БАС"</t>
  </si>
  <si>
    <t>369</t>
  </si>
  <si>
    <t>27.08.2021</t>
  </si>
  <si>
    <t>02-21</t>
  </si>
  <si>
    <t>02.09.2021</t>
  </si>
  <si>
    <t>3706028123</t>
  </si>
  <si>
    <t>370601001</t>
  </si>
  <si>
    <t>ООО "ТИБУРОН"</t>
  </si>
  <si>
    <t>67</t>
  </si>
  <si>
    <t>07.09.2021</t>
  </si>
  <si>
    <t>500402154389</t>
  </si>
  <si>
    <t>РАДЖАБОВ АНДРЕЙ АБДУЛАЗИЗОВИЧ</t>
  </si>
  <si>
    <t>151</t>
  </si>
  <si>
    <t>159</t>
  </si>
  <si>
    <t>15.09.2021</t>
  </si>
  <si>
    <t>4 кв. 2021</t>
  </si>
  <si>
    <t>27503</t>
  </si>
  <si>
    <t>01.10.2021</t>
  </si>
  <si>
    <t>7710206721</t>
  </si>
  <si>
    <t>500101001</t>
  </si>
  <si>
    <t>ООО "КОМПАНИЯ РОНИКС"</t>
  </si>
  <si>
    <t>375</t>
  </si>
  <si>
    <t>7610080480</t>
  </si>
  <si>
    <t>761001001</t>
  </si>
  <si>
    <t>ООО "КОНДИ С"</t>
  </si>
  <si>
    <t>038</t>
  </si>
  <si>
    <t>20.10.2021</t>
  </si>
  <si>
    <t>575103189411</t>
  </si>
  <si>
    <t>БОНДАРЕНКО АНДРЕЙ НИКОЛАЕВИЧ</t>
  </si>
  <si>
    <t>256</t>
  </si>
  <si>
    <t>5030078116</t>
  </si>
  <si>
    <t>503001001</t>
  </si>
  <si>
    <t>ООО "БРИТИШ ПОЛИМЕР"</t>
  </si>
  <si>
    <t>83</t>
  </si>
  <si>
    <t>5752085137</t>
  </si>
  <si>
    <t>575201001</t>
  </si>
  <si>
    <t>ООО "ОРЛОВСКАЯ ТРАНСПОРТНАЯ КОМПАНИЯ"</t>
  </si>
  <si>
    <t>14</t>
  </si>
  <si>
    <t>28.10.2021</t>
  </si>
  <si>
    <t>9703052129</t>
  </si>
  <si>
    <t>770301001</t>
  </si>
  <si>
    <t>ООО "СВЯЗЬ КОНТИНЕНТОВ"</t>
  </si>
  <si>
    <t>21</t>
  </si>
  <si>
    <t>01.11.2021</t>
  </si>
  <si>
    <t>4042863-МСК</t>
  </si>
  <si>
    <t>03.11.2021</t>
  </si>
  <si>
    <t>04.11.2021</t>
  </si>
  <si>
    <t>4157337-МСК</t>
  </si>
  <si>
    <t>11.11.2021</t>
  </si>
  <si>
    <t>19.11.2021</t>
  </si>
  <si>
    <t>4382385-МСК</t>
  </si>
  <si>
    <t>22.11.2021</t>
  </si>
  <si>
    <t>3892/1</t>
  </si>
  <si>
    <t>30.11.2021</t>
  </si>
  <si>
    <t>7726636127</t>
  </si>
  <si>
    <t>772401001</t>
  </si>
  <si>
    <t>ООО "ВТОРЭКОТРАНС"</t>
  </si>
  <si>
    <t>3909</t>
  </si>
  <si>
    <t>А4</t>
  </si>
  <si>
    <t>50</t>
  </si>
  <si>
    <t>905</t>
  </si>
  <si>
    <t>30.12.2021</t>
  </si>
  <si>
    <t>1 кв. 2022</t>
  </si>
  <si>
    <t>А5</t>
  </si>
  <si>
    <t>15.11.2021</t>
  </si>
  <si>
    <t>61</t>
  </si>
  <si>
    <t>11.01.2022</t>
  </si>
  <si>
    <t>9717099543</t>
  </si>
  <si>
    <t>771701001</t>
  </si>
  <si>
    <t>ООО "ТПК "ТЕХПРИВОД"</t>
  </si>
  <si>
    <t>А6</t>
  </si>
  <si>
    <t>02.12.2021</t>
  </si>
  <si>
    <t>А7</t>
  </si>
  <si>
    <t>16.12.2021</t>
  </si>
  <si>
    <t>1</t>
  </si>
  <si>
    <t>23.01.2022</t>
  </si>
  <si>
    <t>7609018783</t>
  </si>
  <si>
    <t>760901001</t>
  </si>
  <si>
    <t>ООО "СФЕРА"</t>
  </si>
  <si>
    <t>СТ1222501</t>
  </si>
  <si>
    <t>24.01.2022</t>
  </si>
  <si>
    <t>7751162150</t>
  </si>
  <si>
    <t>775101001</t>
  </si>
  <si>
    <t>ООО УК "САНГКАТ"</t>
  </si>
  <si>
    <t>А8</t>
  </si>
  <si>
    <t>24.12.2021</t>
  </si>
  <si>
    <t>18.01.2022</t>
  </si>
  <si>
    <t>0312199-МСК</t>
  </si>
  <si>
    <t>27.01.2022</t>
  </si>
  <si>
    <t>1047</t>
  </si>
  <si>
    <t>26.11.2021</t>
  </si>
  <si>
    <t>28.01.2022</t>
  </si>
  <si>
    <t>7720344262</t>
  </si>
  <si>
    <t>772001001</t>
  </si>
  <si>
    <t>ООО "ГТА"</t>
  </si>
  <si>
    <t>30.01.2022</t>
  </si>
  <si>
    <t>4</t>
  </si>
  <si>
    <t>03.02.2022</t>
  </si>
  <si>
    <t>4632286880</t>
  </si>
  <si>
    <t>463201001</t>
  </si>
  <si>
    <t>ООО "ТАРГЕТ"</t>
  </si>
  <si>
    <t>0535093-МСК</t>
  </si>
  <si>
    <t>09.02.2022</t>
  </si>
  <si>
    <t>29.01.2022</t>
  </si>
  <si>
    <t>06.02.2022</t>
  </si>
  <si>
    <t>17.02.2022</t>
  </si>
  <si>
    <t>400</t>
  </si>
  <si>
    <t>СТ1222675</t>
  </si>
  <si>
    <t>18.02.2022</t>
  </si>
  <si>
    <t>12.02.2022</t>
  </si>
  <si>
    <t>20.02.2022</t>
  </si>
  <si>
    <t>1032792-МСК</t>
  </si>
  <si>
    <t>10.03.2022</t>
  </si>
  <si>
    <t>690</t>
  </si>
  <si>
    <t>15.03.2022</t>
  </si>
  <si>
    <t>02</t>
  </si>
  <si>
    <t>А05</t>
  </si>
  <si>
    <t>16.03.2022</t>
  </si>
  <si>
    <t>5042157235</t>
  </si>
  <si>
    <t>ООО "СТОМЕТ"</t>
  </si>
  <si>
    <t>23</t>
  </si>
  <si>
    <t>18.03.2022</t>
  </si>
  <si>
    <t>8911030188</t>
  </si>
  <si>
    <t>891101001</t>
  </si>
  <si>
    <t>ООО "ЯМАЛ ВТОРМЕТ ЭКОЛОГИЯ"</t>
  </si>
  <si>
    <t>182</t>
  </si>
  <si>
    <t>21.03.2022</t>
  </si>
  <si>
    <t>2130224090</t>
  </si>
  <si>
    <t>213001001</t>
  </si>
  <si>
    <t>ООО "РЕГИОН ПАРТНЕР+"</t>
  </si>
  <si>
    <t>84</t>
  </si>
  <si>
    <t>25.03.2022</t>
  </si>
  <si>
    <t>31.03.2022</t>
  </si>
  <si>
    <t>7718930397</t>
  </si>
  <si>
    <t>771801001</t>
  </si>
  <si>
    <t>ООО "ТЕХ-ИНДУСТРИЯ"</t>
  </si>
  <si>
    <t>2 кв. 2022</t>
  </si>
  <si>
    <t>1563024-МСК</t>
  </si>
  <si>
    <t>11.04.2022</t>
  </si>
  <si>
    <t>11806</t>
  </si>
  <si>
    <t>28.04.2022</t>
  </si>
  <si>
    <t>04300002</t>
  </si>
  <si>
    <t>30.04.2022</t>
  </si>
  <si>
    <t>7730205606</t>
  </si>
  <si>
    <t>ООО "БЕРКАНА"</t>
  </si>
  <si>
    <t>07.05.2022</t>
  </si>
  <si>
    <t>1656051233</t>
  </si>
  <si>
    <t>165601001</t>
  </si>
  <si>
    <t>ООО "ВЕСТФАЛИЯ КАЗАНЬ"</t>
  </si>
  <si>
    <t>05100001</t>
  </si>
  <si>
    <t>10.05.2022</t>
  </si>
  <si>
    <t>224</t>
  </si>
  <si>
    <t>11.05.2022</t>
  </si>
  <si>
    <t>7715461764</t>
  </si>
  <si>
    <t>771501001</t>
  </si>
  <si>
    <t>ООО ТК "СЕВЕР"</t>
  </si>
  <si>
    <t>77</t>
  </si>
  <si>
    <t>18.05.2022</t>
  </si>
  <si>
    <t>180522-0001</t>
  </si>
  <si>
    <t>7724721289</t>
  </si>
  <si>
    <t>772901001</t>
  </si>
  <si>
    <t>ООО "КАПИТАЛ МЕТТ"</t>
  </si>
  <si>
    <t>1063</t>
  </si>
  <si>
    <t>19.05.2022</t>
  </si>
  <si>
    <t>7705559961</t>
  </si>
  <si>
    <t>ООО "КОМПАНИЯ ТЕХПРИВОД"</t>
  </si>
  <si>
    <t>26</t>
  </si>
  <si>
    <t>23.05.2022</t>
  </si>
  <si>
    <t>5644023800</t>
  </si>
  <si>
    <t>564401001</t>
  </si>
  <si>
    <t>ООО "В2 ЛОГИСТИКА"</t>
  </si>
  <si>
    <t>4242</t>
  </si>
  <si>
    <t>24.05.2022</t>
  </si>
  <si>
    <t>5038124477</t>
  </si>
  <si>
    <t>503801001</t>
  </si>
  <si>
    <t>ООО "ПОБЕДА"</t>
  </si>
  <si>
    <t>1483467/0008</t>
  </si>
  <si>
    <t>25.05.2022</t>
  </si>
  <si>
    <t>7826156685</t>
  </si>
  <si>
    <t>997650001</t>
  </si>
  <si>
    <t>ООО"ДЕЛОВЫЕ ЛИНИИ"</t>
  </si>
  <si>
    <t>05300001</t>
  </si>
  <si>
    <t>30.05.2022</t>
  </si>
  <si>
    <t>33</t>
  </si>
  <si>
    <t>31.05.2022</t>
  </si>
  <si>
    <t>385</t>
  </si>
  <si>
    <t>3705010099</t>
  </si>
  <si>
    <t>370201001</t>
  </si>
  <si>
    <t>ООО "МАКПЛАСТ"</t>
  </si>
  <si>
    <t>00000016</t>
  </si>
  <si>
    <t>01.06.2022</t>
  </si>
  <si>
    <t>30622-0001</t>
  </si>
  <si>
    <t>03.06.2022</t>
  </si>
  <si>
    <t>15403</t>
  </si>
  <si>
    <t>2543503-МСК</t>
  </si>
  <si>
    <t>042</t>
  </si>
  <si>
    <t>82</t>
  </si>
  <si>
    <t>1018055/0103</t>
  </si>
  <si>
    <t>397</t>
  </si>
  <si>
    <t>08.06.2022</t>
  </si>
  <si>
    <t>46</t>
  </si>
  <si>
    <t>А9</t>
  </si>
  <si>
    <t>09.06.2022</t>
  </si>
  <si>
    <t>6732162057</t>
  </si>
  <si>
    <t>673201001</t>
  </si>
  <si>
    <t>ООО "МЕТАЛЛОПЛАСТ"</t>
  </si>
  <si>
    <t>76</t>
  </si>
  <si>
    <t>15.06.2022</t>
  </si>
  <si>
    <t>7602154970</t>
  </si>
  <si>
    <t>760201001</t>
  </si>
  <si>
    <t>ООО "СТРЭНГА-ПЛАСТ"</t>
  </si>
  <si>
    <t>16601</t>
  </si>
  <si>
    <t>5079</t>
  </si>
  <si>
    <t>17.06.2022</t>
  </si>
  <si>
    <t>9</t>
  </si>
  <si>
    <t>18.06.2022</t>
  </si>
  <si>
    <t>0554008879</t>
  </si>
  <si>
    <t>055401001</t>
  </si>
  <si>
    <t>ООО "АМФА"</t>
  </si>
  <si>
    <t>17201</t>
  </si>
  <si>
    <t>21.06.2022</t>
  </si>
  <si>
    <t>62</t>
  </si>
  <si>
    <t>480</t>
  </si>
  <si>
    <t>22.06.2022</t>
  </si>
  <si>
    <t>2130210041</t>
  </si>
  <si>
    <t>ООО "АЛИСА"</t>
  </si>
  <si>
    <t>2943778-МСК</t>
  </si>
  <si>
    <t>85</t>
  </si>
  <si>
    <t>23.06.2022</t>
  </si>
  <si>
    <t>78</t>
  </si>
  <si>
    <t>27.06.2022</t>
  </si>
  <si>
    <t>399</t>
  </si>
  <si>
    <t>3034</t>
  </si>
  <si>
    <t>29.06.2022</t>
  </si>
  <si>
    <t>7804516800</t>
  </si>
  <si>
    <t>780401001</t>
  </si>
  <si>
    <t>ООО "ПИЛОУС"</t>
  </si>
  <si>
    <t>18003</t>
  </si>
  <si>
    <t>3 кв. 2022</t>
  </si>
  <si>
    <t>00000219</t>
  </si>
  <si>
    <t>22.02.2022</t>
  </si>
  <si>
    <t>2130223001</t>
  </si>
  <si>
    <t>ООО "ОЛИМП"</t>
  </si>
  <si>
    <t>3154285-МСК</t>
  </si>
  <si>
    <t>01.07.2022</t>
  </si>
  <si>
    <t>3154287-МСК</t>
  </si>
  <si>
    <t>408</t>
  </si>
  <si>
    <t>04.07.2022</t>
  </si>
  <si>
    <t>91</t>
  </si>
  <si>
    <t>1372289/0001</t>
  </si>
  <si>
    <t>05.07.2022</t>
  </si>
  <si>
    <t>80722-0001</t>
  </si>
  <si>
    <t>08.07.2022</t>
  </si>
  <si>
    <t>93</t>
  </si>
  <si>
    <t>3310423-МСК</t>
  </si>
  <si>
    <t>440</t>
  </si>
  <si>
    <t>11.07.2022</t>
  </si>
  <si>
    <t>5803</t>
  </si>
  <si>
    <t>14.07.2022</t>
  </si>
  <si>
    <t>1109363/0351</t>
  </si>
  <si>
    <t>19.07.2022</t>
  </si>
  <si>
    <t>20103</t>
  </si>
  <si>
    <t>20.07.2022</t>
  </si>
  <si>
    <t>451</t>
  </si>
  <si>
    <t>133</t>
  </si>
  <si>
    <t>21.07.2022</t>
  </si>
  <si>
    <t>134</t>
  </si>
  <si>
    <t>22.07.2022</t>
  </si>
  <si>
    <t>216</t>
  </si>
  <si>
    <t>7326047367</t>
  </si>
  <si>
    <t>732501001</t>
  </si>
  <si>
    <t>ООО "ПЛАСТРЕСУРС"</t>
  </si>
  <si>
    <t>142</t>
  </si>
  <si>
    <t>25.07.2022</t>
  </si>
  <si>
    <t>01.08.2022</t>
  </si>
  <si>
    <t>490</t>
  </si>
  <si>
    <t>3812586-МСК</t>
  </si>
  <si>
    <t>156</t>
  </si>
  <si>
    <t>02.08.2022</t>
  </si>
  <si>
    <t>801-190744</t>
  </si>
  <si>
    <t>7804526950</t>
  </si>
  <si>
    <t>784201001</t>
  </si>
  <si>
    <t>ООО "ТД "ЭЛЕКТРОТЕХМОНТАЖ"</t>
  </si>
  <si>
    <t>492</t>
  </si>
  <si>
    <t>05.08.2022</t>
  </si>
  <si>
    <t>9717075020</t>
  </si>
  <si>
    <t>ООО "ВАВИЛОНС"</t>
  </si>
  <si>
    <t>6987</t>
  </si>
  <si>
    <t>463</t>
  </si>
  <si>
    <t>08.08.2022</t>
  </si>
  <si>
    <t>3964576-МСК</t>
  </si>
  <si>
    <t>1524</t>
  </si>
  <si>
    <t>6714034334</t>
  </si>
  <si>
    <t>ООО "ЕВРОМАРКЕТ"</t>
  </si>
  <si>
    <t>100</t>
  </si>
  <si>
    <t>12.08.2022</t>
  </si>
  <si>
    <t>7604280579</t>
  </si>
  <si>
    <t>760601001</t>
  </si>
  <si>
    <t>ООО "ПРЕМИУМ-ПЛЮС"</t>
  </si>
  <si>
    <t>28</t>
  </si>
  <si>
    <t>15.08.2022</t>
  </si>
  <si>
    <t>5754023305</t>
  </si>
  <si>
    <t>575401001</t>
  </si>
  <si>
    <t>ООО "ГРИНПАРКТЕХНОЛОГИИ"</t>
  </si>
  <si>
    <t>22703</t>
  </si>
  <si>
    <t>150822-0002</t>
  </si>
  <si>
    <t>1769</t>
  </si>
  <si>
    <t>17.08.2022</t>
  </si>
  <si>
    <t>22905</t>
  </si>
  <si>
    <t>18.08.2022</t>
  </si>
  <si>
    <t>177</t>
  </si>
  <si>
    <t>866</t>
  </si>
  <si>
    <t>19.08.2022</t>
  </si>
  <si>
    <t>5036151891</t>
  </si>
  <si>
    <t>ООО "МИРОВОЕ ОБОРУДОВАНИЕ"</t>
  </si>
  <si>
    <t>236</t>
  </si>
  <si>
    <t>22.08.2022</t>
  </si>
  <si>
    <t>4299095-МСК</t>
  </si>
  <si>
    <t>23.08.2022</t>
  </si>
  <si>
    <t>102</t>
  </si>
  <si>
    <t>1178249/0139</t>
  </si>
  <si>
    <t>1127360/0351</t>
  </si>
  <si>
    <t>4299100-МСК</t>
  </si>
  <si>
    <t>А10</t>
  </si>
  <si>
    <t>17.07.2022</t>
  </si>
  <si>
    <t>А11</t>
  </si>
  <si>
    <t>499</t>
  </si>
  <si>
    <t>25.08.2022</t>
  </si>
  <si>
    <t>107</t>
  </si>
  <si>
    <t>465852/20220826002</t>
  </si>
  <si>
    <t>26.08.2022</t>
  </si>
  <si>
    <t>9705171890</t>
  </si>
  <si>
    <t>770501001</t>
  </si>
  <si>
    <t>ООО "МАРКЕТ.ТРЕЙД"</t>
  </si>
  <si>
    <t>507</t>
  </si>
  <si>
    <t>29.08.2022</t>
  </si>
  <si>
    <t>А13</t>
  </si>
  <si>
    <t>1270</t>
  </si>
  <si>
    <t>30.08.2022</t>
  </si>
  <si>
    <t>3702719610</t>
  </si>
  <si>
    <t>ООО "ПРОСТОР-ИВАНОВО"</t>
  </si>
  <si>
    <t>А15</t>
  </si>
  <si>
    <t>05.09.2022</t>
  </si>
  <si>
    <t>252</t>
  </si>
  <si>
    <t>07.09.2022</t>
  </si>
  <si>
    <t>4671229-МСК</t>
  </si>
  <si>
    <t>08.09.2022</t>
  </si>
  <si>
    <t>110922-0001</t>
  </si>
  <si>
    <t>11.09.2022</t>
  </si>
  <si>
    <t>963</t>
  </si>
  <si>
    <t>13.09.2022</t>
  </si>
  <si>
    <t>537</t>
  </si>
  <si>
    <t>15.09.2022</t>
  </si>
  <si>
    <t>1196854/0139</t>
  </si>
  <si>
    <t>25807</t>
  </si>
  <si>
    <t>220622-0003</t>
  </si>
  <si>
    <t>21.09.2022</t>
  </si>
  <si>
    <t>А000000557</t>
  </si>
  <si>
    <t>22.09.2022</t>
  </si>
  <si>
    <t>6950216778</t>
  </si>
  <si>
    <t>695001001</t>
  </si>
  <si>
    <t>ООО "АРГО"</t>
  </si>
  <si>
    <t>5028684-МСК</t>
  </si>
  <si>
    <t>23.09.2022</t>
  </si>
  <si>
    <t>273</t>
  </si>
  <si>
    <t>146</t>
  </si>
  <si>
    <t>27.09.2022</t>
  </si>
  <si>
    <t>504505909543</t>
  </si>
  <si>
    <t>АРИСТОВ АНДРЕЙ НИКОЛАЕВИЧ</t>
  </si>
  <si>
    <t>53</t>
  </si>
  <si>
    <t>5257157274</t>
  </si>
  <si>
    <t>525601001</t>
  </si>
  <si>
    <t>ООО "ПРОФЕССИОНАЛЬНЫЕ ТЕХНОЛОГИИ"</t>
  </si>
  <si>
    <t>272-02</t>
  </si>
  <si>
    <t>28.09.2022</t>
  </si>
  <si>
    <t>4703126357</t>
  </si>
  <si>
    <t>470301001</t>
  </si>
  <si>
    <t>ООО "АФБ СИСТЕМА"</t>
  </si>
  <si>
    <t>90</t>
  </si>
  <si>
    <t>5048057893</t>
  </si>
  <si>
    <t>504801001</t>
  </si>
  <si>
    <t>ООО "ЛОГИСТИКА 24/7"</t>
  </si>
  <si>
    <t>678</t>
  </si>
  <si>
    <t>29.09.2022</t>
  </si>
  <si>
    <t>1840099685</t>
  </si>
  <si>
    <t>184001001</t>
  </si>
  <si>
    <t>ООО "АЗИМУТ ПЛЮС"</t>
  </si>
  <si>
    <t>290922-0002</t>
  </si>
  <si>
    <t>298</t>
  </si>
  <si>
    <t>503821691357</t>
  </si>
  <si>
    <t>ДЖУРАЕВА ГУЛЬБАХОР ХАБИБУЛЛОЕВНА</t>
  </si>
  <si>
    <t>562</t>
  </si>
  <si>
    <t>30.09.2022</t>
  </si>
  <si>
    <t>4 кв. 2022</t>
  </si>
  <si>
    <t>27603</t>
  </si>
  <si>
    <t>03.10.2022</t>
  </si>
  <si>
    <t>1461</t>
  </si>
  <si>
    <t>113</t>
  </si>
  <si>
    <t>04.10.2022</t>
  </si>
  <si>
    <t>5074076606</t>
  </si>
  <si>
    <t>507401001</t>
  </si>
  <si>
    <t>ООО "ЭРА+"</t>
  </si>
  <si>
    <t>149416</t>
  </si>
  <si>
    <t>05.10.2022</t>
  </si>
  <si>
    <t>5027141583</t>
  </si>
  <si>
    <t>502701001</t>
  </si>
  <si>
    <t>ООО "КИРЕЛИС"</t>
  </si>
  <si>
    <t>1727</t>
  </si>
  <si>
    <t>11.10.2022</t>
  </si>
  <si>
    <t>5259109999</t>
  </si>
  <si>
    <t>525901001</t>
  </si>
  <si>
    <t>ООО "ИСТОК 52"</t>
  </si>
  <si>
    <t>1555405/0066</t>
  </si>
  <si>
    <t>12.10.2022</t>
  </si>
  <si>
    <t>1253</t>
  </si>
  <si>
    <t>7719499303</t>
  </si>
  <si>
    <t>ООО "БК ЛОГИСТИКА"</t>
  </si>
  <si>
    <t>91534</t>
  </si>
  <si>
    <t>7725498851</t>
  </si>
  <si>
    <t>772501001</t>
  </si>
  <si>
    <t>ООО "ПРО ВОСТОК"</t>
  </si>
  <si>
    <t>329</t>
  </si>
  <si>
    <t>9702038153</t>
  </si>
  <si>
    <t>770201001</t>
  </si>
  <si>
    <t>ООО ТК РЕГИОН</t>
  </si>
  <si>
    <t>585</t>
  </si>
  <si>
    <t>13.10.2022</t>
  </si>
  <si>
    <t>1545</t>
  </si>
  <si>
    <t>14.10.2022</t>
  </si>
  <si>
    <t>29401</t>
  </si>
  <si>
    <t>21.10.2022</t>
  </si>
  <si>
    <t>1599</t>
  </si>
  <si>
    <t>610</t>
  </si>
  <si>
    <t>24.10.2022</t>
  </si>
  <si>
    <t>5797712-МСК</t>
  </si>
  <si>
    <t>26.10.2022</t>
  </si>
  <si>
    <t>5797716-МСК</t>
  </si>
  <si>
    <t>2284</t>
  </si>
  <si>
    <t>30003</t>
  </si>
  <si>
    <t>27.10.2022</t>
  </si>
  <si>
    <t>673</t>
  </si>
  <si>
    <t>27801</t>
  </si>
  <si>
    <t>28.10.2022</t>
  </si>
  <si>
    <t>1027506/0163</t>
  </si>
  <si>
    <t>01.11.2022</t>
  </si>
  <si>
    <t>1165611/0351</t>
  </si>
  <si>
    <t>86</t>
  </si>
  <si>
    <t>УТ-772</t>
  </si>
  <si>
    <t>02.11.2022</t>
  </si>
  <si>
    <t>7727449987</t>
  </si>
  <si>
    <t>772701001</t>
  </si>
  <si>
    <t>ООО ГК "ЗАЩИТА-СЕРВИС"</t>
  </si>
  <si>
    <t>УТ-771</t>
  </si>
  <si>
    <t>1039131/0103</t>
  </si>
  <si>
    <t>08.11.2022</t>
  </si>
  <si>
    <t>1445816/0116</t>
  </si>
  <si>
    <t>2381</t>
  </si>
  <si>
    <t>97854</t>
  </si>
  <si>
    <t>91122-0003</t>
  </si>
  <si>
    <t>09.11.2022</t>
  </si>
  <si>
    <t>29623</t>
  </si>
  <si>
    <t>7724944253</t>
  </si>
  <si>
    <t>ООО "ТК РИМ"</t>
  </si>
  <si>
    <t>202</t>
  </si>
  <si>
    <t>11.11.2022</t>
  </si>
  <si>
    <t>1170368/0351</t>
  </si>
  <si>
    <t>14.11.2022</t>
  </si>
  <si>
    <t>6275006-МСК</t>
  </si>
  <si>
    <t>2166</t>
  </si>
  <si>
    <t>7811749386</t>
  </si>
  <si>
    <t>780601001</t>
  </si>
  <si>
    <t>ООО "ЧИСТЫЙ ГОРОД"</t>
  </si>
  <si>
    <t>1687</t>
  </si>
  <si>
    <t>15.11.2022</t>
  </si>
  <si>
    <t>32001</t>
  </si>
  <si>
    <t>16.11.2022</t>
  </si>
  <si>
    <t>2642988/0244</t>
  </si>
  <si>
    <t>2177</t>
  </si>
  <si>
    <t>769</t>
  </si>
  <si>
    <t>18.11.2022</t>
  </si>
  <si>
    <t>11496</t>
  </si>
  <si>
    <t>21.11.2022</t>
  </si>
  <si>
    <t>6499765-МСК</t>
  </si>
  <si>
    <t>22.11.2022</t>
  </si>
  <si>
    <t>1473796/0116</t>
  </si>
  <si>
    <t>2217378/0008</t>
  </si>
  <si>
    <t>23.11.2022</t>
  </si>
  <si>
    <t>5308377/0008</t>
  </si>
  <si>
    <t>2266</t>
  </si>
  <si>
    <t>28.11.2022</t>
  </si>
  <si>
    <t>666</t>
  </si>
  <si>
    <t>34202</t>
  </si>
  <si>
    <t>08.12.2022</t>
  </si>
  <si>
    <t>34605</t>
  </si>
  <si>
    <t>12.12.2022</t>
  </si>
  <si>
    <t>24803</t>
  </si>
  <si>
    <t>14.12.2022</t>
  </si>
  <si>
    <t>876</t>
  </si>
  <si>
    <t>1841082966</t>
  </si>
  <si>
    <t>183201001</t>
  </si>
  <si>
    <t>ООО "АЗИМУТ"</t>
  </si>
  <si>
    <t>1 кв. 2023</t>
  </si>
  <si>
    <t>31201</t>
  </si>
  <si>
    <t>14.01.2023</t>
  </si>
  <si>
    <t>6732118788</t>
  </si>
  <si>
    <t>ООО "ВИГОРСЕН-РУС"</t>
  </si>
  <si>
    <t>5</t>
  </si>
  <si>
    <t>17.01.2023</t>
  </si>
  <si>
    <t>В1181</t>
  </si>
  <si>
    <t>18.01.2023</t>
  </si>
  <si>
    <t>2323031240</t>
  </si>
  <si>
    <t>770101001</t>
  </si>
  <si>
    <t>ООО "АМИКО"</t>
  </si>
  <si>
    <t>39</t>
  </si>
  <si>
    <t>20.01.2023</t>
  </si>
  <si>
    <t>6141050189</t>
  </si>
  <si>
    <t>614101001</t>
  </si>
  <si>
    <t>ООО "ДОНАВТОТРАНС"</t>
  </si>
  <si>
    <t>288</t>
  </si>
  <si>
    <t>23.01.2023</t>
  </si>
  <si>
    <t>24.01.2023</t>
  </si>
  <si>
    <t>24</t>
  </si>
  <si>
    <t>25.01.2023</t>
  </si>
  <si>
    <t>2356</t>
  </si>
  <si>
    <t>7731321860</t>
  </si>
  <si>
    <t>773101001</t>
  </si>
  <si>
    <t>ООО "АКВА-ЛАБ"</t>
  </si>
  <si>
    <t>81261</t>
  </si>
  <si>
    <t>26.01.2023</t>
  </si>
  <si>
    <t>26/01</t>
  </si>
  <si>
    <t>5029102558</t>
  </si>
  <si>
    <t>ООО "ПРЕСТИЖ"</t>
  </si>
  <si>
    <t>11308</t>
  </si>
  <si>
    <t>181022-0004</t>
  </si>
  <si>
    <t>18.10.2022</t>
  </si>
  <si>
    <t>31.01.2023</t>
  </si>
  <si>
    <t>81311</t>
  </si>
  <si>
    <t>169</t>
  </si>
  <si>
    <t>30.12.2022</t>
  </si>
  <si>
    <t>42</t>
  </si>
  <si>
    <t>01.02.2023</t>
  </si>
  <si>
    <t>41</t>
  </si>
  <si>
    <t>181</t>
  </si>
  <si>
    <t>6</t>
  </si>
  <si>
    <t>7702450324</t>
  </si>
  <si>
    <t>ООО "ПП-ПАРТНЕР"</t>
  </si>
  <si>
    <t>1047497/0066</t>
  </si>
  <si>
    <t>02.02.2023</t>
  </si>
  <si>
    <t>642</t>
  </si>
  <si>
    <t>06.02.2023</t>
  </si>
  <si>
    <t>ПВ2061</t>
  </si>
  <si>
    <t>33826521202302080017</t>
  </si>
  <si>
    <t>08.02.2023</t>
  </si>
  <si>
    <t>7714820869</t>
  </si>
  <si>
    <t>ООО "ЭЛЕКТРОН"</t>
  </si>
  <si>
    <t>1014795/0351</t>
  </si>
  <si>
    <t>09.02.2023</t>
  </si>
  <si>
    <t>ПВ2101</t>
  </si>
  <si>
    <t>10.02.2023</t>
  </si>
  <si>
    <t>В2101</t>
  </si>
  <si>
    <t>000204</t>
  </si>
  <si>
    <t>14.02.2023</t>
  </si>
  <si>
    <t>7719898851</t>
  </si>
  <si>
    <t>ООО "ЭНЕРГОСТРОЙПОСТАВКА"</t>
  </si>
  <si>
    <t>15.02.2023</t>
  </si>
  <si>
    <t>5050098914</t>
  </si>
  <si>
    <t>ООО "ВУДДЕКЕР"</t>
  </si>
  <si>
    <t>11</t>
  </si>
  <si>
    <t>В2161</t>
  </si>
  <si>
    <t>16.02.2023</t>
  </si>
  <si>
    <t>109/Сф</t>
  </si>
  <si>
    <t>20.02.2023</t>
  </si>
  <si>
    <t>5027302008</t>
  </si>
  <si>
    <t>ООО "МИГ-ГРУПП"</t>
  </si>
  <si>
    <t>65</t>
  </si>
  <si>
    <t>ПВ2211</t>
  </si>
  <si>
    <t>21.02.2023</t>
  </si>
  <si>
    <t>243</t>
  </si>
  <si>
    <t>В2211</t>
  </si>
  <si>
    <t>141</t>
  </si>
  <si>
    <t>6318194380</t>
  </si>
  <si>
    <t>631801001</t>
  </si>
  <si>
    <t>ООО "УСПЕХ ПЛЮС"</t>
  </si>
  <si>
    <t>14022023-01</t>
  </si>
  <si>
    <t>23.02.2023</t>
  </si>
  <si>
    <t>3663118732</t>
  </si>
  <si>
    <t>366301001</t>
  </si>
  <si>
    <t>ООО "СТЕПТРЕЙД"</t>
  </si>
  <si>
    <t>5802</t>
  </si>
  <si>
    <t>27.02.2023</t>
  </si>
  <si>
    <t>1422867-МСК</t>
  </si>
  <si>
    <t>2</t>
  </si>
  <si>
    <t>07.03.2023</t>
  </si>
  <si>
    <t>761102837735</t>
  </si>
  <si>
    <t>ГАВРИЛЮК АРТЕМ АНДРЕЕВИЧ</t>
  </si>
  <si>
    <t>3</t>
  </si>
  <si>
    <t>2252</t>
  </si>
  <si>
    <t>В3091</t>
  </si>
  <si>
    <t>09.03.2023</t>
  </si>
  <si>
    <t>10.03.2023</t>
  </si>
  <si>
    <t>505024909214</t>
  </si>
  <si>
    <t>КРОЛЕВЕЦ СТЕПАН ИВАНОВИЧ</t>
  </si>
  <si>
    <t>81</t>
  </si>
  <si>
    <t>325</t>
  </si>
  <si>
    <t>16.03.2023</t>
  </si>
  <si>
    <t>3334022545</t>
  </si>
  <si>
    <t>333401001</t>
  </si>
  <si>
    <t>ООО "ДИЗЕЛЬ-М"</t>
  </si>
  <si>
    <t>09.01.2023</t>
  </si>
  <si>
    <t>1998138-МСК</t>
  </si>
  <si>
    <t>20.03.2023</t>
  </si>
  <si>
    <t>24.03.2023</t>
  </si>
  <si>
    <t>3099</t>
  </si>
  <si>
    <t>27.03.2023</t>
  </si>
  <si>
    <t>383</t>
  </si>
  <si>
    <t>108</t>
  </si>
  <si>
    <t>28.03.2023</t>
  </si>
  <si>
    <t>3327117958</t>
  </si>
  <si>
    <t>332701001</t>
  </si>
  <si>
    <t>ООО "ПКП ВТОРМА"</t>
  </si>
  <si>
    <t>1840116933</t>
  </si>
  <si>
    <t>ООО "ЛЕМУС"</t>
  </si>
  <si>
    <t>69</t>
  </si>
  <si>
    <t>29.03.2023</t>
  </si>
  <si>
    <t>В3301</t>
  </si>
  <si>
    <t>30.03.2023</t>
  </si>
  <si>
    <t>9001</t>
  </si>
  <si>
    <t>31.03.2023</t>
  </si>
  <si>
    <t>А14</t>
  </si>
  <si>
    <t>7</t>
  </si>
  <si>
    <t>2 кв. 2023</t>
  </si>
  <si>
    <t>11.03.2023</t>
  </si>
  <si>
    <t>2816332-МСК</t>
  </si>
  <si>
    <t>13.04.2023</t>
  </si>
  <si>
    <t>19.04.2023</t>
  </si>
  <si>
    <t>762</t>
  </si>
  <si>
    <t>20.04.2023</t>
  </si>
  <si>
    <t>5047186751</t>
  </si>
  <si>
    <t>504701001</t>
  </si>
  <si>
    <t>ООО "НЕКСТТУЛС"</t>
  </si>
  <si>
    <t>512</t>
  </si>
  <si>
    <t>21.04.2023</t>
  </si>
  <si>
    <t>178</t>
  </si>
  <si>
    <t>1261264/0066</t>
  </si>
  <si>
    <t>25.04.2023</t>
  </si>
  <si>
    <t>25</t>
  </si>
  <si>
    <t>26.04.2023</t>
  </si>
  <si>
    <t>947</t>
  </si>
  <si>
    <t>4985</t>
  </si>
  <si>
    <t>01.05.2023</t>
  </si>
  <si>
    <t>02.05.2023</t>
  </si>
  <si>
    <t>7100026196</t>
  </si>
  <si>
    <t>710001001</t>
  </si>
  <si>
    <t>ООО "ОПМ-ГРУПП"</t>
  </si>
  <si>
    <t>119</t>
  </si>
  <si>
    <t>7610123020</t>
  </si>
  <si>
    <t>ООО "РУСМАК"</t>
  </si>
  <si>
    <t>51</t>
  </si>
  <si>
    <t>04.05.2023</t>
  </si>
  <si>
    <t>170</t>
  </si>
  <si>
    <t>5074072418</t>
  </si>
  <si>
    <t>ООО "ИЛСЕРВИС"</t>
  </si>
  <si>
    <t>5160086-МСК</t>
  </si>
  <si>
    <t>05.05.2023</t>
  </si>
  <si>
    <t>1265414/0021</t>
  </si>
  <si>
    <t>1037</t>
  </si>
  <si>
    <t>06.05.2023</t>
  </si>
  <si>
    <t>28481702</t>
  </si>
  <si>
    <t>12.05.2023</t>
  </si>
  <si>
    <t>7721793895</t>
  </si>
  <si>
    <t>997350001</t>
  </si>
  <si>
    <t>ООО "КОМУС"</t>
  </si>
  <si>
    <t>3782202-МСК</t>
  </si>
  <si>
    <t>13502</t>
  </si>
  <si>
    <t>15.05.2023</t>
  </si>
  <si>
    <t>17</t>
  </si>
  <si>
    <t>5579</t>
  </si>
  <si>
    <t>16.05.2023</t>
  </si>
  <si>
    <t>17.05.2023</t>
  </si>
  <si>
    <t>764</t>
  </si>
  <si>
    <t>20</t>
  </si>
  <si>
    <t>22.05.2023</t>
  </si>
  <si>
    <t>1169</t>
  </si>
  <si>
    <t>103</t>
  </si>
  <si>
    <t>5042025951</t>
  </si>
  <si>
    <t>ООО "Дуэт"</t>
  </si>
  <si>
    <t>23.05.2023</t>
  </si>
  <si>
    <t>1598</t>
  </si>
  <si>
    <t>5042117088</t>
  </si>
  <si>
    <t>ООО "ЭнергоВЕК"</t>
  </si>
  <si>
    <t>2505/1</t>
  </si>
  <si>
    <t>25.05.2023</t>
  </si>
  <si>
    <t>7447261358</t>
  </si>
  <si>
    <t>231101001</t>
  </si>
  <si>
    <t>ООО "ТПК "ДАГАЗ"</t>
  </si>
  <si>
    <t>36</t>
  </si>
  <si>
    <t>1203</t>
  </si>
  <si>
    <t>26.05.2023</t>
  </si>
  <si>
    <t>Э/41/032020</t>
  </si>
  <si>
    <t>31.05.2023</t>
  </si>
  <si>
    <t>7736520080</t>
  </si>
  <si>
    <t>АО "МОСЭНЕРГОСБЫТ"</t>
  </si>
  <si>
    <t>1014499/0395</t>
  </si>
  <si>
    <t>01.06.2023</t>
  </si>
  <si>
    <t>15703</t>
  </si>
  <si>
    <t>06.06.2023</t>
  </si>
  <si>
    <t>766</t>
  </si>
  <si>
    <t>07.06.2023</t>
  </si>
  <si>
    <t>4850818-МСК</t>
  </si>
  <si>
    <t>09.06.2023</t>
  </si>
  <si>
    <t>1834</t>
  </si>
  <si>
    <t>1341</t>
  </si>
  <si>
    <t>13.06.2023</t>
  </si>
  <si>
    <t>В6131</t>
  </si>
  <si>
    <t>П6131</t>
  </si>
  <si>
    <t>00000000200</t>
  </si>
  <si>
    <t>1352</t>
  </si>
  <si>
    <t>14.06.2023</t>
  </si>
  <si>
    <t>36/1</t>
  </si>
  <si>
    <t>1147</t>
  </si>
  <si>
    <t>15.06.2023</t>
  </si>
  <si>
    <t>40587341202306180005</t>
  </si>
  <si>
    <t>18.06.2023</t>
  </si>
  <si>
    <t>7733765116</t>
  </si>
  <si>
    <t>781001001</t>
  </si>
  <si>
    <t>ООО "ГРИФФИН ТЕХНОЛОДЖИ"</t>
  </si>
  <si>
    <t>249</t>
  </si>
  <si>
    <t>19.06.2023</t>
  </si>
  <si>
    <t>1344594/0002</t>
  </si>
  <si>
    <t>21.06.2023</t>
  </si>
  <si>
    <t>6829047322</t>
  </si>
  <si>
    <t>682901001</t>
  </si>
  <si>
    <t>ООО "ТРАНСФОРМАТОР ПРОДАЖ"</t>
  </si>
  <si>
    <t>17303</t>
  </si>
  <si>
    <t>22.06.2023</t>
  </si>
  <si>
    <t>285</t>
  </si>
  <si>
    <t>26.06.2023</t>
  </si>
  <si>
    <t>20230626-001</t>
  </si>
  <si>
    <t>3327847538</t>
  </si>
  <si>
    <t>ООО "ВТОРМА КЛИНИНГ"</t>
  </si>
  <si>
    <t>В6271</t>
  </si>
  <si>
    <t>27.06.2023</t>
  </si>
  <si>
    <t>1017157/0163</t>
  </si>
  <si>
    <t>5007869/0389</t>
  </si>
  <si>
    <t>5517891-МСК</t>
  </si>
  <si>
    <t>5517895-МСК</t>
  </si>
  <si>
    <t>38</t>
  </si>
  <si>
    <t>28.06.2023</t>
  </si>
  <si>
    <t>6950267934</t>
  </si>
  <si>
    <t>ООО "ПЛАСТРЕЗЕРВ"</t>
  </si>
  <si>
    <t>Э/41/039082</t>
  </si>
  <si>
    <t>30.06.2023</t>
  </si>
  <si>
    <t>3 кв. 2023</t>
  </si>
  <si>
    <t>545</t>
  </si>
  <si>
    <t>05.07.2023</t>
  </si>
  <si>
    <t>7727181433</t>
  </si>
  <si>
    <t>401101001</t>
  </si>
  <si>
    <t>ООО "РЕЦИКЛЕН"</t>
  </si>
  <si>
    <t>19/1</t>
  </si>
  <si>
    <t>7602114576</t>
  </si>
  <si>
    <t>ООО "ИНВЕСТТОРГ"</t>
  </si>
  <si>
    <t>1542</t>
  </si>
  <si>
    <t>10.07.2023</t>
  </si>
  <si>
    <t>6164139041</t>
  </si>
  <si>
    <t>616401001</t>
  </si>
  <si>
    <t>ООО ТПП "ПЛАСТИК ЭКСПЕРТ"</t>
  </si>
  <si>
    <t>1007</t>
  </si>
  <si>
    <t>11.07.2023</t>
  </si>
  <si>
    <t>20/1/1</t>
  </si>
  <si>
    <t>12.07.2023</t>
  </si>
  <si>
    <t>1223255/0139</t>
  </si>
  <si>
    <t>13.07.2023</t>
  </si>
  <si>
    <t>6126410-МСК</t>
  </si>
  <si>
    <t>1571</t>
  </si>
  <si>
    <t>14.07.2023</t>
  </si>
  <si>
    <t>24.02.2023</t>
  </si>
  <si>
    <t>9111</t>
  </si>
  <si>
    <t>19.07.2023</t>
  </si>
  <si>
    <t>В7191</t>
  </si>
  <si>
    <t>21.07.2023</t>
  </si>
  <si>
    <t>В7211</t>
  </si>
  <si>
    <t>1653</t>
  </si>
  <si>
    <t>25.07.2023</t>
  </si>
  <si>
    <t>1652</t>
  </si>
  <si>
    <t>1658</t>
  </si>
  <si>
    <t>26.07.2023</t>
  </si>
  <si>
    <t>20802</t>
  </si>
  <si>
    <t>27.07.2023</t>
  </si>
  <si>
    <t>B7271</t>
  </si>
  <si>
    <t>1224</t>
  </si>
  <si>
    <t>28.07.2023</t>
  </si>
  <si>
    <t>0273094417</t>
  </si>
  <si>
    <t>ООО "КРЕЗОЛ-НЕФТЕСЕРВИС"</t>
  </si>
  <si>
    <t>Э/41/046095</t>
  </si>
  <si>
    <t>31.07.2023</t>
  </si>
  <si>
    <t>9653</t>
  </si>
  <si>
    <t>В8011</t>
  </si>
  <si>
    <t>01.08.2023</t>
  </si>
  <si>
    <t>6815842-МСК</t>
  </si>
  <si>
    <t>6815845-МСК</t>
  </si>
  <si>
    <t>6957772-МСК</t>
  </si>
  <si>
    <t>04.08.2023</t>
  </si>
  <si>
    <t>24/1/1</t>
  </si>
  <si>
    <t>05.08.2023</t>
  </si>
  <si>
    <t>775</t>
  </si>
  <si>
    <t>08.08.2023</t>
  </si>
  <si>
    <t>7720458774</t>
  </si>
  <si>
    <t>ООО "СЕРВИСЛОГИСТИК"</t>
  </si>
  <si>
    <t>75</t>
  </si>
  <si>
    <t>09.08.2023</t>
  </si>
  <si>
    <t>13.08.2023</t>
  </si>
  <si>
    <t>1790</t>
  </si>
  <si>
    <t>1608/1</t>
  </si>
  <si>
    <t>16.08.2023</t>
  </si>
  <si>
    <t>20230818-013183</t>
  </si>
  <si>
    <t>18.08.2023</t>
  </si>
  <si>
    <t>7718620740</t>
  </si>
  <si>
    <t>ООО "ХЭДХАНТЕР"</t>
  </si>
  <si>
    <t>20230818-013182</t>
  </si>
  <si>
    <t>В8201</t>
  </si>
  <si>
    <t>20.08.2023</t>
  </si>
  <si>
    <t>1022093/0395</t>
  </si>
  <si>
    <t>22.08.2023</t>
  </si>
  <si>
    <t>10937</t>
  </si>
  <si>
    <t>155</t>
  </si>
  <si>
    <t>5036156949</t>
  </si>
  <si>
    <t>ООО "ГРУППА КОМПАНИЙ АМД"</t>
  </si>
  <si>
    <t>1875</t>
  </si>
  <si>
    <t>25.08.2023</t>
  </si>
  <si>
    <t>1675</t>
  </si>
  <si>
    <t>В8282</t>
  </si>
  <si>
    <t>28.08.2023</t>
  </si>
  <si>
    <t>1903</t>
  </si>
  <si>
    <t>29.08.2023</t>
  </si>
  <si>
    <t>1530979/0002</t>
  </si>
  <si>
    <t>30.08.2023</t>
  </si>
  <si>
    <t>В8301</t>
  </si>
  <si>
    <t>Э/41/053139</t>
  </si>
  <si>
    <t>31.08.2023</t>
  </si>
  <si>
    <t>В9011</t>
  </si>
  <si>
    <t>01.09.2023</t>
  </si>
  <si>
    <t>6925234</t>
  </si>
  <si>
    <t>04.09.2023</t>
  </si>
  <si>
    <t>7704217370</t>
  </si>
  <si>
    <t>ООО "ИНТЕРНЕТ РЕШЕНИЯ"</t>
  </si>
  <si>
    <t>1945</t>
  </si>
  <si>
    <t>05.09.2023</t>
  </si>
  <si>
    <t>111</t>
  </si>
  <si>
    <t>25006</t>
  </si>
  <si>
    <t>07.09.2023</t>
  </si>
  <si>
    <t>08.09.2023</t>
  </si>
  <si>
    <t>3702243578</t>
  </si>
  <si>
    <t>ООО "ТД "АРМАДА"</t>
  </si>
  <si>
    <t>121</t>
  </si>
  <si>
    <t>11.09.2023</t>
  </si>
  <si>
    <t>8322035-МСК</t>
  </si>
  <si>
    <t>2639</t>
  </si>
  <si>
    <t>13.09.2023</t>
  </si>
  <si>
    <t>5008043929</t>
  </si>
  <si>
    <t>500801001</t>
  </si>
  <si>
    <t>ООО "ТД "СМАРТВЕС"</t>
  </si>
  <si>
    <t>В9131</t>
  </si>
  <si>
    <t>1789</t>
  </si>
  <si>
    <t>7814884</t>
  </si>
  <si>
    <t>14.09.2023</t>
  </si>
  <si>
    <t>2009</t>
  </si>
  <si>
    <t>2010</t>
  </si>
  <si>
    <t>38/1/1</t>
  </si>
  <si>
    <t>15.09.2023</t>
  </si>
  <si>
    <t>2020</t>
  </si>
  <si>
    <t>16.09.2023</t>
  </si>
  <si>
    <t>12445</t>
  </si>
  <si>
    <t>18.09.2023</t>
  </si>
  <si>
    <t>А18</t>
  </si>
  <si>
    <t>1587489/0002</t>
  </si>
  <si>
    <t>8616057-МСК</t>
  </si>
  <si>
    <t>8616038-МСК</t>
  </si>
  <si>
    <t>2035</t>
  </si>
  <si>
    <t>19.09.2023</t>
  </si>
  <si>
    <t>В9191</t>
  </si>
  <si>
    <t>205</t>
  </si>
  <si>
    <t>2009/1</t>
  </si>
  <si>
    <t>20.09.2023</t>
  </si>
  <si>
    <t>1026597/0395</t>
  </si>
  <si>
    <t>25.09.2023</t>
  </si>
  <si>
    <t>8907679-МСК</t>
  </si>
  <si>
    <t>8907675-МСК</t>
  </si>
  <si>
    <t>464</t>
  </si>
  <si>
    <t>26.09.2023</t>
  </si>
  <si>
    <t>185</t>
  </si>
  <si>
    <t>1030604/0163</t>
  </si>
  <si>
    <t>28.09.2023</t>
  </si>
  <si>
    <t>226</t>
  </si>
  <si>
    <t>Э/41/060316</t>
  </si>
  <si>
    <t>30.09.2023</t>
  </si>
  <si>
    <t>39/1/1</t>
  </si>
  <si>
    <t>4 кв. 2023</t>
  </si>
  <si>
    <t>9459</t>
  </si>
  <si>
    <t>1746</t>
  </si>
  <si>
    <t>01.10.2023</t>
  </si>
  <si>
    <t>402/01</t>
  </si>
  <si>
    <t>04.02.2023</t>
  </si>
  <si>
    <t>3664248068</t>
  </si>
  <si>
    <t>366401001</t>
  </si>
  <si>
    <t>ООО "ВЕРШИНА"</t>
  </si>
  <si>
    <t>3329101505</t>
  </si>
  <si>
    <t>332901001</t>
  </si>
  <si>
    <t>ООО "НАЦ-РЕСУРС"</t>
  </si>
  <si>
    <t>210</t>
  </si>
  <si>
    <t>21.09.2023</t>
  </si>
  <si>
    <t>В10031</t>
  </si>
  <si>
    <t>03.10.2023</t>
  </si>
  <si>
    <t>А19</t>
  </si>
  <si>
    <t>А20</t>
  </si>
  <si>
    <t>В10091</t>
  </si>
  <si>
    <t>09.10.2023</t>
  </si>
  <si>
    <t>И-2328300001</t>
  </si>
  <si>
    <t>10.10.2023</t>
  </si>
  <si>
    <t>7709965851</t>
  </si>
  <si>
    <t>ООО "ИНЖЕНЕРИКА"</t>
  </si>
  <si>
    <t>9564478-МСК</t>
  </si>
  <si>
    <t>11.10.2023</t>
  </si>
  <si>
    <t>28504</t>
  </si>
  <si>
    <t>12.10.2023</t>
  </si>
  <si>
    <t>389493/141</t>
  </si>
  <si>
    <t>13.10.2023</t>
  </si>
  <si>
    <t>2196</t>
  </si>
  <si>
    <t>2224</t>
  </si>
  <si>
    <t>17.10.2023</t>
  </si>
  <si>
    <t>В10181</t>
  </si>
  <si>
    <t>18.10.2023</t>
  </si>
  <si>
    <t>9843751-МСК</t>
  </si>
  <si>
    <t>9843748-МСК</t>
  </si>
  <si>
    <t>У2442</t>
  </si>
  <si>
    <t>19.10.2023</t>
  </si>
  <si>
    <t>7725645954</t>
  </si>
  <si>
    <t>ООО "ИННОРУС"</t>
  </si>
  <si>
    <t>14043</t>
  </si>
  <si>
    <t>20.10.2023</t>
  </si>
  <si>
    <t>9941656-МСК</t>
  </si>
  <si>
    <t>1098070/0132</t>
  </si>
  <si>
    <t>23.10.2023</t>
  </si>
  <si>
    <t>В10231</t>
  </si>
  <si>
    <t>А22</t>
  </si>
  <si>
    <t>21.10.2023</t>
  </si>
  <si>
    <t>1832</t>
  </si>
  <si>
    <t>25.10.2023</t>
  </si>
  <si>
    <t>5042146988</t>
  </si>
  <si>
    <t>ООО "СТРОЙЛЮКС"</t>
  </si>
  <si>
    <t>116601/731</t>
  </si>
  <si>
    <t>26.10.2023</t>
  </si>
  <si>
    <t>186</t>
  </si>
  <si>
    <t>27.10.2023</t>
  </si>
  <si>
    <t>В10271</t>
  </si>
  <si>
    <t>УТ-282</t>
  </si>
  <si>
    <t>31.10.2023</t>
  </si>
  <si>
    <t>7716955438</t>
  </si>
  <si>
    <t>771601001</t>
  </si>
  <si>
    <t>ООО "ЗАПСНАБ"</t>
  </si>
  <si>
    <t>А24</t>
  </si>
  <si>
    <t>29.10.2023</t>
  </si>
  <si>
    <t>А25</t>
  </si>
  <si>
    <t>1335303/0130</t>
  </si>
  <si>
    <t>02.11.2023</t>
  </si>
  <si>
    <t>0211/3</t>
  </si>
  <si>
    <t>2294</t>
  </si>
  <si>
    <t>щД21170002</t>
  </si>
  <si>
    <t>7735151383</t>
  </si>
  <si>
    <t>773501001</t>
  </si>
  <si>
    <t>ООО "ТРАНСЗЕЛСЕРВИС"</t>
  </si>
  <si>
    <t>2329</t>
  </si>
  <si>
    <t>07.11.2023</t>
  </si>
  <si>
    <t>А26</t>
  </si>
  <si>
    <t>04.11.2023</t>
  </si>
  <si>
    <t>2336</t>
  </si>
  <si>
    <t>08.11.2023</t>
  </si>
  <si>
    <t>1030243/0395</t>
  </si>
  <si>
    <t>09.11.2023</t>
  </si>
  <si>
    <t>10761974-МСК</t>
  </si>
  <si>
    <t>10.11.2023</t>
  </si>
  <si>
    <t>10761973-МСК</t>
  </si>
  <si>
    <t>10761972-МСК</t>
  </si>
  <si>
    <t>10761981-МСК</t>
  </si>
  <si>
    <t>10761971-МСК</t>
  </si>
  <si>
    <t>52</t>
  </si>
  <si>
    <t>1085307/0103</t>
  </si>
  <si>
    <t>13.11.2023</t>
  </si>
  <si>
    <t>315</t>
  </si>
  <si>
    <t>316</t>
  </si>
  <si>
    <t>А27</t>
  </si>
  <si>
    <t>31903</t>
  </si>
  <si>
    <t>15.11.2023</t>
  </si>
  <si>
    <t>А28</t>
  </si>
  <si>
    <t>17.11.2023</t>
  </si>
  <si>
    <t>А21</t>
  </si>
  <si>
    <t>А23</t>
  </si>
  <si>
    <t>2421</t>
  </si>
  <si>
    <t>21.11.2023</t>
  </si>
  <si>
    <t>11246682-МСК</t>
  </si>
  <si>
    <t>11246684-МСК</t>
  </si>
  <si>
    <t>В11221</t>
  </si>
  <si>
    <t>22.11.2023</t>
  </si>
  <si>
    <t>2478</t>
  </si>
  <si>
    <t>29.11.2023</t>
  </si>
  <si>
    <t>2477</t>
  </si>
  <si>
    <t>В12044</t>
  </si>
  <si>
    <t>04.12.2023</t>
  </si>
  <si>
    <t>33901</t>
  </si>
  <si>
    <t>05.12.2023</t>
  </si>
  <si>
    <t>0612/2</t>
  </si>
  <si>
    <t>06.12.2023</t>
  </si>
  <si>
    <t>0612/3</t>
  </si>
  <si>
    <t>А29</t>
  </si>
  <si>
    <t>24.11.2023</t>
  </si>
  <si>
    <t>2567</t>
  </si>
  <si>
    <t>11.12.2023</t>
  </si>
  <si>
    <t>1034129/0395</t>
  </si>
  <si>
    <t>13.12.2023</t>
  </si>
  <si>
    <t>А30</t>
  </si>
  <si>
    <t>25.11.2023</t>
  </si>
  <si>
    <t>А31</t>
  </si>
  <si>
    <t>08.12.2023</t>
  </si>
  <si>
    <t>А32</t>
  </si>
  <si>
    <t>12.12.2023</t>
  </si>
  <si>
    <t>12508701-МСК</t>
  </si>
  <si>
    <t>19.12.2023</t>
  </si>
  <si>
    <t>12508696-МСК</t>
  </si>
  <si>
    <t>щД211270001</t>
  </si>
  <si>
    <t>21.12.2023</t>
  </si>
  <si>
    <t>904</t>
  </si>
  <si>
    <t>25.12.2023</t>
  </si>
  <si>
    <t>5042127223</t>
  </si>
  <si>
    <t>ООО "ТЕПЛОТЭН"</t>
  </si>
  <si>
    <t>УТ-2438</t>
  </si>
  <si>
    <t>28.12.2023</t>
  </si>
  <si>
    <t>1326249370</t>
  </si>
  <si>
    <t>132601001</t>
  </si>
  <si>
    <t>00003409</t>
  </si>
  <si>
    <t>504214929520</t>
  </si>
  <si>
    <t>ЧУМИЧЕВ ВЯЧЕСЛАВ ЮРЬЕВИЧ</t>
  </si>
  <si>
    <t>00003410</t>
  </si>
  <si>
    <t>1 кв. 2024</t>
  </si>
  <si>
    <t>4041</t>
  </si>
  <si>
    <t>31.12.2023</t>
  </si>
  <si>
    <t>01.01.2024</t>
  </si>
  <si>
    <t>5042013804</t>
  </si>
  <si>
    <t>АО "НИИРП"</t>
  </si>
  <si>
    <t>00000003</t>
  </si>
  <si>
    <t>10.01.2024</t>
  </si>
  <si>
    <t>00000005</t>
  </si>
  <si>
    <t>00000004</t>
  </si>
  <si>
    <t>В1152</t>
  </si>
  <si>
    <t>15.01.2024</t>
  </si>
  <si>
    <t>1701/1</t>
  </si>
  <si>
    <t>17.01.2024</t>
  </si>
  <si>
    <t>15</t>
  </si>
  <si>
    <t>1397930/34</t>
  </si>
  <si>
    <t>25.01.2024</t>
  </si>
  <si>
    <t>ПШ2601_0003</t>
  </si>
  <si>
    <t>26.01.2024</t>
  </si>
  <si>
    <t>7720880217</t>
  </si>
  <si>
    <t>ООО "ПРИУС"</t>
  </si>
  <si>
    <t>16</t>
  </si>
  <si>
    <t>238</t>
  </si>
  <si>
    <t>30.01.2024</t>
  </si>
  <si>
    <t>257</t>
  </si>
  <si>
    <t>31.01.2024</t>
  </si>
  <si>
    <t>232</t>
  </si>
  <si>
    <t>1002150/0395</t>
  </si>
  <si>
    <t>01.02.2024</t>
  </si>
  <si>
    <t>02.02.2024</t>
  </si>
  <si>
    <t>9723049460</t>
  </si>
  <si>
    <t>772301001</t>
  </si>
  <si>
    <t>ООО ТК "АСТРА"</t>
  </si>
  <si>
    <t>3301</t>
  </si>
  <si>
    <t>06.02.2024</t>
  </si>
  <si>
    <t>37</t>
  </si>
  <si>
    <t>374</t>
  </si>
  <si>
    <t>16.02.2024</t>
  </si>
  <si>
    <t>351</t>
  </si>
  <si>
    <t>19.02.2024</t>
  </si>
  <si>
    <t>7726659406</t>
  </si>
  <si>
    <t>ООО "ПАЛЛЕТ-СТРОЙ ПЛЮС"</t>
  </si>
  <si>
    <t>1761638-МСК</t>
  </si>
  <si>
    <t>1103</t>
  </si>
  <si>
    <t>21.02.2024</t>
  </si>
  <si>
    <t>7706135690</t>
  </si>
  <si>
    <t>ООО "МАСТЕРБАТЧ СВ"</t>
  </si>
  <si>
    <t>87</t>
  </si>
  <si>
    <t>23.02.2024</t>
  </si>
  <si>
    <t>26.02.2024</t>
  </si>
  <si>
    <t>1191</t>
  </si>
  <si>
    <t>27.02.2024</t>
  </si>
  <si>
    <t>7729486906</t>
  </si>
  <si>
    <t>ООО "ХИМПРОМАЛЬЯНС"</t>
  </si>
  <si>
    <t>29.02.2024</t>
  </si>
  <si>
    <t>АС0000000799</t>
  </si>
  <si>
    <t>7728319846</t>
  </si>
  <si>
    <t>772801001</t>
  </si>
  <si>
    <t>ООО "МЕТАЛЛСЕРВИС"</t>
  </si>
  <si>
    <t>649</t>
  </si>
  <si>
    <t>114</t>
  </si>
  <si>
    <t>01.03.2024</t>
  </si>
  <si>
    <t>184</t>
  </si>
  <si>
    <t>5403009534</t>
  </si>
  <si>
    <t>540301001</t>
  </si>
  <si>
    <t>ООО "АВТОБЭСТ СЕРВИС"</t>
  </si>
  <si>
    <t>ПШ103_0003</t>
  </si>
  <si>
    <t>19</t>
  </si>
  <si>
    <t>71326249-0013/0503</t>
  </si>
  <si>
    <t>05.03.2024</t>
  </si>
  <si>
    <t>2371233-МСК</t>
  </si>
  <si>
    <t>06.03.2024</t>
  </si>
  <si>
    <t>5246055094</t>
  </si>
  <si>
    <t>524601001</t>
  </si>
  <si>
    <t>ООО "ВЕК УСПЕХА"</t>
  </si>
  <si>
    <t>1006869/0163</t>
  </si>
  <si>
    <t>07.03.2024</t>
  </si>
  <si>
    <t>120</t>
  </si>
  <si>
    <t>3057</t>
  </si>
  <si>
    <t>13.03.2024</t>
  </si>
  <si>
    <t>14.03.2024</t>
  </si>
  <si>
    <t>504301001</t>
  </si>
  <si>
    <t>684</t>
  </si>
  <si>
    <t>18.03.2024</t>
  </si>
  <si>
    <t>5003440/0389</t>
  </si>
  <si>
    <t>1089430/0038</t>
  </si>
  <si>
    <t>2895380-МСК</t>
  </si>
  <si>
    <t>ПШ1803_0003</t>
  </si>
  <si>
    <t>АС0000001086</t>
  </si>
  <si>
    <t>19.03.2024</t>
  </si>
  <si>
    <t>193</t>
  </si>
  <si>
    <t>20.03.2024</t>
  </si>
  <si>
    <t>71326249-0014/2103</t>
  </si>
  <si>
    <t>21.03.2024</t>
  </si>
  <si>
    <t>295</t>
  </si>
  <si>
    <t>20240322-007083</t>
  </si>
  <si>
    <t>22.03.2024</t>
  </si>
  <si>
    <t>71326249-0016/2503</t>
  </si>
  <si>
    <t>25.03.2024</t>
  </si>
  <si>
    <t>1037899/0389</t>
  </si>
  <si>
    <t>29.03.2024</t>
  </si>
  <si>
    <t>816</t>
  </si>
  <si>
    <t>31.03.2024</t>
  </si>
  <si>
    <t>817</t>
  </si>
  <si>
    <t>5050162084</t>
  </si>
  <si>
    <t>ООО "ПЛАСТКОМ"</t>
  </si>
  <si>
    <t>2 кв. 2024</t>
  </si>
  <si>
    <t>А1737</t>
  </si>
  <si>
    <t>02.04.2024</t>
  </si>
  <si>
    <t>6455041925</t>
  </si>
  <si>
    <t>645201001</t>
  </si>
  <si>
    <t>ООО "ЭКОНОМЛИЗИНГ"</t>
  </si>
  <si>
    <t>3750313-МСК</t>
  </si>
  <si>
    <t>05.04.2024</t>
  </si>
  <si>
    <t>3750311-МСК</t>
  </si>
  <si>
    <t>109</t>
  </si>
  <si>
    <t>08.04.2024</t>
  </si>
  <si>
    <t>20384/349</t>
  </si>
  <si>
    <t>09.04.2024</t>
  </si>
  <si>
    <t>71326249-0018/0904</t>
  </si>
  <si>
    <t>1031</t>
  </si>
  <si>
    <t>15.04.2024</t>
  </si>
  <si>
    <t>10603</t>
  </si>
  <si>
    <t>16.04.2024</t>
  </si>
  <si>
    <t>550</t>
  </si>
  <si>
    <t>17.04.2024</t>
  </si>
  <si>
    <t>4894</t>
  </si>
  <si>
    <t>18.04.2024</t>
  </si>
  <si>
    <t>цЧ180430002</t>
  </si>
  <si>
    <t>9704232685</t>
  </si>
  <si>
    <t>770401001</t>
  </si>
  <si>
    <t>ООО "МАСТЕР АС"</t>
  </si>
  <si>
    <t>149</t>
  </si>
  <si>
    <t>19.04.2024</t>
  </si>
  <si>
    <t>5042116359</t>
  </si>
  <si>
    <t>ООО "СТРОЙИНВЕСТ-СЕРВИС"</t>
  </si>
  <si>
    <t>1047345/0389</t>
  </si>
  <si>
    <t>21.04.2024</t>
  </si>
  <si>
    <t>11301</t>
  </si>
  <si>
    <t>23.04.2024</t>
  </si>
  <si>
    <t>20240423-012783</t>
  </si>
  <si>
    <t>800</t>
  </si>
  <si>
    <t>71326249-0019/2404</t>
  </si>
  <si>
    <t>24.04.2024</t>
  </si>
  <si>
    <t>127</t>
  </si>
  <si>
    <t>ПРП2604</t>
  </si>
  <si>
    <t>26.04.2024</t>
  </si>
  <si>
    <t>9709058790</t>
  </si>
  <si>
    <t>770901001</t>
  </si>
  <si>
    <t>ООО "КУРСОР"</t>
  </si>
  <si>
    <t>130</t>
  </si>
  <si>
    <t>1231</t>
  </si>
  <si>
    <t>30.04.2024</t>
  </si>
  <si>
    <t>1230</t>
  </si>
  <si>
    <t>5006749-МСК</t>
  </si>
  <si>
    <t>02.05.2024</t>
  </si>
  <si>
    <t>22.04.2024</t>
  </si>
  <si>
    <t>8338041202405050001</t>
  </si>
  <si>
    <t>05.05.2024</t>
  </si>
  <si>
    <t>7736207543</t>
  </si>
  <si>
    <t>ООО "ЯНДЕКС"</t>
  </si>
  <si>
    <t>461</t>
  </si>
  <si>
    <t>06.05.2024</t>
  </si>
  <si>
    <t>5141317-МСК</t>
  </si>
  <si>
    <t>6015</t>
  </si>
  <si>
    <t>10.05.2024</t>
  </si>
  <si>
    <t>6164141192</t>
  </si>
  <si>
    <t>ООО "АУРЛАЙН"</t>
  </si>
  <si>
    <t>цЧ100530003</t>
  </si>
  <si>
    <t>1325</t>
  </si>
  <si>
    <t>13.05.2024</t>
  </si>
  <si>
    <t>248/1</t>
  </si>
  <si>
    <t>7447084733</t>
  </si>
  <si>
    <t>744801001</t>
  </si>
  <si>
    <t>ООО "УРАЛЬСКАЯ КАБЕЛЬНАЯ КОМПАНИЯ"</t>
  </si>
  <si>
    <t>5472251-МСК</t>
  </si>
  <si>
    <t>14.05.2024</t>
  </si>
  <si>
    <t>1183247/0139</t>
  </si>
  <si>
    <t>15.05.2024</t>
  </si>
  <si>
    <t>13701</t>
  </si>
  <si>
    <t>17.05.2024</t>
  </si>
  <si>
    <t>27.04.2024</t>
  </si>
  <si>
    <t>1393</t>
  </si>
  <si>
    <t>21.05.2024</t>
  </si>
  <si>
    <t>6418</t>
  </si>
  <si>
    <t>241</t>
  </si>
  <si>
    <t>22.05.2024</t>
  </si>
  <si>
    <t>3702121876</t>
  </si>
  <si>
    <t>ООО "РУССКИЙ МЕТАЛЛ"</t>
  </si>
  <si>
    <t>А12</t>
  </si>
  <si>
    <t>6802</t>
  </si>
  <si>
    <t>28.05.2024</t>
  </si>
  <si>
    <t>ПРП2905</t>
  </si>
  <si>
    <t>29.05.2024</t>
  </si>
  <si>
    <t>8</t>
  </si>
  <si>
    <t>30.05.2024</t>
  </si>
  <si>
    <t>1532</t>
  </si>
  <si>
    <t>31.05.2024</t>
  </si>
  <si>
    <t>1533</t>
  </si>
  <si>
    <t>1534</t>
  </si>
  <si>
    <t>05-582908</t>
  </si>
  <si>
    <t>7710668349</t>
  </si>
  <si>
    <t>771001001</t>
  </si>
  <si>
    <t>ООО "КЕХ ЕКОММЕРЦ"</t>
  </si>
  <si>
    <t>05-771758</t>
  </si>
  <si>
    <t>6323983-МСК</t>
  </si>
  <si>
    <t>6323988-МСК</t>
  </si>
  <si>
    <t>116601/465</t>
  </si>
  <si>
    <t>56195/253</t>
  </si>
  <si>
    <t>43</t>
  </si>
  <si>
    <t>04.06.2024</t>
  </si>
  <si>
    <t>7310</t>
  </si>
  <si>
    <t>29</t>
  </si>
  <si>
    <t>000000000313</t>
  </si>
  <si>
    <t>05.06.2024</t>
  </si>
  <si>
    <t>цЧ50630002</t>
  </si>
  <si>
    <t>1086511/0103</t>
  </si>
  <si>
    <t>07.06.2024</t>
  </si>
  <si>
    <t>5007520/0389</t>
  </si>
  <si>
    <t>А16</t>
  </si>
  <si>
    <t>ХКК-452</t>
  </si>
  <si>
    <t>10.06.2024</t>
  </si>
  <si>
    <t>7751165400</t>
  </si>
  <si>
    <t>ООО "КОМПАНИЯ КОМПЛЕКС"</t>
  </si>
  <si>
    <t>1397930/386</t>
  </si>
  <si>
    <t>5050149750</t>
  </si>
  <si>
    <t>ООО "СЕРВИС ПОГРУЗЧИКОВ"</t>
  </si>
  <si>
    <t>606</t>
  </si>
  <si>
    <t>11.06.2024</t>
  </si>
  <si>
    <t>4029053919</t>
  </si>
  <si>
    <t>402901001</t>
  </si>
  <si>
    <t>ООО "КСТ-ЭКОЛОГИЯ"</t>
  </si>
  <si>
    <t>4221</t>
  </si>
  <si>
    <t>14.06.2024</t>
  </si>
  <si>
    <t>7707425843</t>
  </si>
  <si>
    <t>770701001</t>
  </si>
  <si>
    <t>ООО "ПРОМО-КАРТА"</t>
  </si>
  <si>
    <t>266</t>
  </si>
  <si>
    <t>7702433142</t>
  </si>
  <si>
    <t>771401001</t>
  </si>
  <si>
    <t>ООО "ТД БИЗЗОН"</t>
  </si>
  <si>
    <t>ЛИ240615/001</t>
  </si>
  <si>
    <t>15.06.2024</t>
  </si>
  <si>
    <t>7805806798</t>
  </si>
  <si>
    <t>780501001</t>
  </si>
  <si>
    <t>ООО "ДИВИЗИОН"</t>
  </si>
  <si>
    <t>СА240615/001</t>
  </si>
  <si>
    <t>17.06.2024</t>
  </si>
  <si>
    <t>270</t>
  </si>
  <si>
    <t>225</t>
  </si>
  <si>
    <t>5042158422</t>
  </si>
  <si>
    <t>ООО "АВТОСКЛАДЫ"</t>
  </si>
  <si>
    <t>А17</t>
  </si>
  <si>
    <t>56195/541</t>
  </si>
  <si>
    <t>19.06.2024</t>
  </si>
  <si>
    <t>84939/776</t>
  </si>
  <si>
    <t>1688</t>
  </si>
  <si>
    <t>20.06.2024</t>
  </si>
  <si>
    <t>1689</t>
  </si>
  <si>
    <t>13946481</t>
  </si>
  <si>
    <t>432</t>
  </si>
  <si>
    <t>5038137035</t>
  </si>
  <si>
    <t>ООО ТК "МЕТАЛЛУРГ"</t>
  </si>
  <si>
    <t>1397930/409</t>
  </si>
  <si>
    <t>21.06.2024</t>
  </si>
  <si>
    <t>84939/835</t>
  </si>
  <si>
    <t>2311312461</t>
  </si>
  <si>
    <t>ООО "ГПА ЮФО"</t>
  </si>
  <si>
    <t>06.06.2024</t>
  </si>
  <si>
    <t>14126494</t>
  </si>
  <si>
    <t>24.06.2024</t>
  </si>
  <si>
    <t>12.03.2024</t>
  </si>
  <si>
    <t>В6251</t>
  </si>
  <si>
    <t>25.06.2024</t>
  </si>
  <si>
    <t>П260624-006</t>
  </si>
  <si>
    <t>26.06.2024</t>
  </si>
  <si>
    <t>410</t>
  </si>
  <si>
    <t>28.06.2024</t>
  </si>
  <si>
    <t>1853</t>
  </si>
  <si>
    <t>30.06.2024</t>
  </si>
  <si>
    <t>1854</t>
  </si>
  <si>
    <t>1855</t>
  </si>
  <si>
    <t>06-1384531</t>
  </si>
  <si>
    <t>цЧ300630001</t>
  </si>
  <si>
    <t>3 кв. 2024</t>
  </si>
  <si>
    <t>197</t>
  </si>
  <si>
    <t>01.07.2024</t>
  </si>
  <si>
    <t>48</t>
  </si>
  <si>
    <t>27.06.2024</t>
  </si>
  <si>
    <t>248</t>
  </si>
  <si>
    <t>02.07.2024</t>
  </si>
  <si>
    <t>А3562</t>
  </si>
  <si>
    <t>04.07.2024</t>
  </si>
  <si>
    <t>18901</t>
  </si>
  <si>
    <t>08.07.2024</t>
  </si>
  <si>
    <t>473</t>
  </si>
  <si>
    <t>373</t>
  </si>
  <si>
    <t>20240709-004195</t>
  </si>
  <si>
    <t>09.07.2024</t>
  </si>
  <si>
    <t>В7092</t>
  </si>
  <si>
    <t>В7172</t>
  </si>
  <si>
    <t>17.07.2024</t>
  </si>
  <si>
    <t>11.07.2024</t>
  </si>
  <si>
    <t>В7261</t>
  </si>
  <si>
    <t>26.07.2024</t>
  </si>
  <si>
    <t>448</t>
  </si>
  <si>
    <t>12.07.2024</t>
  </si>
  <si>
    <t>5050154485</t>
  </si>
  <si>
    <t>ООО "ЭЛЬБРУС"</t>
  </si>
  <si>
    <t>78909</t>
  </si>
  <si>
    <t>7727297766</t>
  </si>
  <si>
    <t>ООО "ГЛТ МОСКВА"</t>
  </si>
  <si>
    <t>118</t>
  </si>
  <si>
    <t>120001001</t>
  </si>
  <si>
    <t>1973</t>
  </si>
  <si>
    <t>15.07.2024</t>
  </si>
  <si>
    <t>192</t>
  </si>
  <si>
    <t>1023958/0163</t>
  </si>
  <si>
    <t>19.07.2024</t>
  </si>
  <si>
    <t>707</t>
  </si>
  <si>
    <t>7720497766</t>
  </si>
  <si>
    <t>ООО "ГТМ"</t>
  </si>
  <si>
    <t>2067</t>
  </si>
  <si>
    <t>22.07.2024</t>
  </si>
  <si>
    <t>8806002-МСК</t>
  </si>
  <si>
    <t>23.07.2024</t>
  </si>
  <si>
    <t>8805995-МСК</t>
  </si>
  <si>
    <t>754</t>
  </si>
  <si>
    <t>25.07.2024</t>
  </si>
  <si>
    <t>В8061</t>
  </si>
  <si>
    <t>06.08.2024</t>
  </si>
  <si>
    <t>21001</t>
  </si>
  <si>
    <t>29.07.2024</t>
  </si>
  <si>
    <t>го290760001</t>
  </si>
  <si>
    <t>7724447950</t>
  </si>
  <si>
    <t>ООО "АЛЬТЭК"</t>
  </si>
  <si>
    <t>А4112</t>
  </si>
  <si>
    <t>30.07.2024</t>
  </si>
  <si>
    <t>10132</t>
  </si>
  <si>
    <t>2159</t>
  </si>
  <si>
    <t>31.07.2024</t>
  </si>
  <si>
    <t>2160</t>
  </si>
  <si>
    <t>2161</t>
  </si>
  <si>
    <t>07-640170</t>
  </si>
  <si>
    <t>07-789480</t>
  </si>
  <si>
    <t>АС0000003787</t>
  </si>
  <si>
    <t>01.08.2024</t>
  </si>
  <si>
    <t>504</t>
  </si>
  <si>
    <t>02.08.2024</t>
  </si>
  <si>
    <t>2239</t>
  </si>
  <si>
    <t>7736296832</t>
  </si>
  <si>
    <t>ООО "ЭРАЛОГИСТИК"</t>
  </si>
  <si>
    <t>56195/1232</t>
  </si>
  <si>
    <t>05.08.2024</t>
  </si>
  <si>
    <t>84939/1695</t>
  </si>
  <si>
    <t>18593014</t>
  </si>
  <si>
    <t>84939/1694</t>
  </si>
  <si>
    <t>56195/1233</t>
  </si>
  <si>
    <t>18.07.2024</t>
  </si>
  <si>
    <t>В8271</t>
  </si>
  <si>
    <t>27.08.2024</t>
  </si>
  <si>
    <t>07.08.2024</t>
  </si>
  <si>
    <t>36089</t>
  </si>
  <si>
    <t>09.08.2024</t>
  </si>
  <si>
    <t>7715215141</t>
  </si>
  <si>
    <t>ООО "МФК ТЕХЭНЕРГО"</t>
  </si>
  <si>
    <t>УТ-1980</t>
  </si>
  <si>
    <t>П100824-002</t>
  </si>
  <si>
    <t>10.08.2024</t>
  </si>
  <si>
    <t>10943</t>
  </si>
  <si>
    <t>12.08.2024</t>
  </si>
  <si>
    <t>9696666-МСК</t>
  </si>
  <si>
    <t>9696670-МСК</t>
  </si>
  <si>
    <t>9696661-МСК</t>
  </si>
  <si>
    <t>13.08.2024</t>
  </si>
  <si>
    <t>14.08.2024</t>
  </si>
  <si>
    <t>213</t>
  </si>
  <si>
    <t>15.08.2024</t>
  </si>
  <si>
    <t>23101</t>
  </si>
  <si>
    <t>19.08.2024</t>
  </si>
  <si>
    <t>А34</t>
  </si>
  <si>
    <t>го210860001</t>
  </si>
  <si>
    <t>21.08.2024</t>
  </si>
  <si>
    <t>2208/1</t>
  </si>
  <si>
    <t>22.08.2024</t>
  </si>
  <si>
    <t>А35</t>
  </si>
  <si>
    <t>612</t>
  </si>
  <si>
    <t>23.08.2024</t>
  </si>
  <si>
    <t>В9232</t>
  </si>
  <si>
    <t>23.09.2024</t>
  </si>
  <si>
    <t>26.08.2024</t>
  </si>
  <si>
    <t>519</t>
  </si>
  <si>
    <t>10397617-МСК</t>
  </si>
  <si>
    <t>28.08.2024</t>
  </si>
  <si>
    <t>10397615-МСК</t>
  </si>
  <si>
    <t>А33</t>
  </si>
  <si>
    <t>А36</t>
  </si>
  <si>
    <t>А4737</t>
  </si>
  <si>
    <t>29.08.2024</t>
  </si>
  <si>
    <t>А4734</t>
  </si>
  <si>
    <t>1055777/0395</t>
  </si>
  <si>
    <t>2442</t>
  </si>
  <si>
    <t>В2091</t>
  </si>
  <si>
    <t>02.09.2024</t>
  </si>
  <si>
    <t>30.08.2024</t>
  </si>
  <si>
    <t>1028399/0163</t>
  </si>
  <si>
    <t>10487047-МСК</t>
  </si>
  <si>
    <t>Е-261400</t>
  </si>
  <si>
    <t>31.08.2024</t>
  </si>
  <si>
    <t>9728004134</t>
  </si>
  <si>
    <t>772101001</t>
  </si>
  <si>
    <t>ООО "БАЙКАЛ-ФАРМА"</t>
  </si>
  <si>
    <t>2480</t>
  </si>
  <si>
    <t>2483</t>
  </si>
  <si>
    <t>2484</t>
  </si>
  <si>
    <t>П020924-004</t>
  </si>
  <si>
    <t>636</t>
  </si>
  <si>
    <t>04.09.2024</t>
  </si>
  <si>
    <t>228</t>
  </si>
  <si>
    <t>8210</t>
  </si>
  <si>
    <t>7719725432</t>
  </si>
  <si>
    <t>771901001</t>
  </si>
  <si>
    <t>ООО "ЛИДЕР"</t>
  </si>
  <si>
    <t>05.09.2024</t>
  </si>
  <si>
    <t>12343</t>
  </si>
  <si>
    <t>А37</t>
  </si>
  <si>
    <t>А38</t>
  </si>
  <si>
    <t>56195/1736</t>
  </si>
  <si>
    <t>09.09.2024</t>
  </si>
  <si>
    <t>56195/1735</t>
  </si>
  <si>
    <t>205863/967</t>
  </si>
  <si>
    <t>1395729/0287</t>
  </si>
  <si>
    <t>10.09.2024</t>
  </si>
  <si>
    <t>5057113/0287</t>
  </si>
  <si>
    <t>П130924-005</t>
  </si>
  <si>
    <t>13.09.2024</t>
  </si>
  <si>
    <t>12749</t>
  </si>
  <si>
    <t>841</t>
  </si>
  <si>
    <t>7733320090</t>
  </si>
  <si>
    <t>773301001</t>
  </si>
  <si>
    <t>ООО "РЭМ"</t>
  </si>
  <si>
    <t>663</t>
  </si>
  <si>
    <t>11213387-МСК</t>
  </si>
  <si>
    <t>16.09.2024</t>
  </si>
  <si>
    <t>11213393-МСК</t>
  </si>
  <si>
    <t>2642</t>
  </si>
  <si>
    <t>17.09.2024</t>
  </si>
  <si>
    <t>1235640/0009</t>
  </si>
  <si>
    <t>56195/1861</t>
  </si>
  <si>
    <t>1883</t>
  </si>
  <si>
    <t>18.09.2024</t>
  </si>
  <si>
    <t>7728453697</t>
  </si>
  <si>
    <t>ООО "СТОЛИЧНЫЙ МЕТАЛЛ"</t>
  </si>
  <si>
    <t>497</t>
  </si>
  <si>
    <t>19.09.2024</t>
  </si>
  <si>
    <t>55</t>
  </si>
  <si>
    <t>20.09.2024</t>
  </si>
  <si>
    <t>А40</t>
  </si>
  <si>
    <t>А41</t>
  </si>
  <si>
    <t>580</t>
  </si>
  <si>
    <t>579</t>
  </si>
  <si>
    <t>В9261</t>
  </si>
  <si>
    <t>26.09.2024</t>
  </si>
  <si>
    <t>24.09.2024</t>
  </si>
  <si>
    <t>1126868/0389</t>
  </si>
  <si>
    <t>26802</t>
  </si>
  <si>
    <t>25.09.2024</t>
  </si>
  <si>
    <t>303</t>
  </si>
  <si>
    <t>1035277/0163</t>
  </si>
  <si>
    <t>П260924-004</t>
  </si>
  <si>
    <t>8769</t>
  </si>
  <si>
    <t>11727939-МСК</t>
  </si>
  <si>
    <t>В9271</t>
  </si>
  <si>
    <t>27.09.2024</t>
  </si>
  <si>
    <t>В9302</t>
  </si>
  <si>
    <t>30.09.2024</t>
  </si>
  <si>
    <t>700</t>
  </si>
  <si>
    <t>А39</t>
  </si>
  <si>
    <t>А42</t>
  </si>
  <si>
    <t>А43</t>
  </si>
  <si>
    <t>А44</t>
  </si>
  <si>
    <t>2777</t>
  </si>
  <si>
    <t>2778</t>
  </si>
  <si>
    <t>2780</t>
  </si>
  <si>
    <t>го300960001</t>
  </si>
  <si>
    <t>09-638318</t>
  </si>
  <si>
    <t>09-935242</t>
  </si>
  <si>
    <t>09-935298</t>
  </si>
  <si>
    <t>4 кв. 2024</t>
  </si>
  <si>
    <t>27402</t>
  </si>
  <si>
    <t>01.10.2024</t>
  </si>
  <si>
    <t>5805</t>
  </si>
  <si>
    <t>198</t>
  </si>
  <si>
    <t>20.07.2024</t>
  </si>
  <si>
    <t>04.10.2024</t>
  </si>
  <si>
    <t>1443</t>
  </si>
  <si>
    <t>7733717842</t>
  </si>
  <si>
    <t>ООО "ЮНИОНЭЛЕКТРО"</t>
  </si>
  <si>
    <t>А45</t>
  </si>
  <si>
    <t>1268</t>
  </si>
  <si>
    <t>08.10.2024</t>
  </si>
  <si>
    <t>5001153104</t>
  </si>
  <si>
    <t>ООО ТК "ВЕЛИКАН"</t>
  </si>
  <si>
    <t>1010/1</t>
  </si>
  <si>
    <t>10.10.2024</t>
  </si>
  <si>
    <t>251</t>
  </si>
  <si>
    <t>В10182</t>
  </si>
  <si>
    <t>11.10.2024</t>
  </si>
  <si>
    <t>7500</t>
  </si>
  <si>
    <t>14.10.2024</t>
  </si>
  <si>
    <t>7506</t>
  </si>
  <si>
    <t>7253</t>
  </si>
  <si>
    <t>7453340713</t>
  </si>
  <si>
    <t>744701001</t>
  </si>
  <si>
    <t>ООО "АДК ТРАНС"</t>
  </si>
  <si>
    <t>40139641</t>
  </si>
  <si>
    <t>15.10.2024</t>
  </si>
  <si>
    <t>772201001</t>
  </si>
  <si>
    <t>2937</t>
  </si>
  <si>
    <t>16.10.2024</t>
  </si>
  <si>
    <t>А49</t>
  </si>
  <si>
    <t>18.10.2024</t>
  </si>
  <si>
    <t>56195/2763</t>
  </si>
  <si>
    <t>56195/2762</t>
  </si>
  <si>
    <t>507132/284</t>
  </si>
  <si>
    <t>1518</t>
  </si>
  <si>
    <t>12706862-МСК</t>
  </si>
  <si>
    <t>1062260/0395</t>
  </si>
  <si>
    <t>21.10.2024</t>
  </si>
  <si>
    <t>В10221</t>
  </si>
  <si>
    <t>22.10.2024</t>
  </si>
  <si>
    <t>64</t>
  </si>
  <si>
    <t>5036088400</t>
  </si>
  <si>
    <t>ООО "ТИМКРАФТ"</t>
  </si>
  <si>
    <t>261</t>
  </si>
  <si>
    <t>24.10.2024</t>
  </si>
  <si>
    <t>15062</t>
  </si>
  <si>
    <t>А51</t>
  </si>
  <si>
    <t>25961465</t>
  </si>
  <si>
    <t>25.10.2024</t>
  </si>
  <si>
    <t>В10251</t>
  </si>
  <si>
    <t>В10281</t>
  </si>
  <si>
    <t>28.10.2024</t>
  </si>
  <si>
    <t>1071</t>
  </si>
  <si>
    <t>2810003</t>
  </si>
  <si>
    <t>9726036518</t>
  </si>
  <si>
    <t>772601001</t>
  </si>
  <si>
    <t>ООО "БЕСТБИЗ"</t>
  </si>
  <si>
    <t>А46</t>
  </si>
  <si>
    <t>03.10.2024</t>
  </si>
  <si>
    <t>1559</t>
  </si>
  <si>
    <t>30.10.2024</t>
  </si>
  <si>
    <t>6330</t>
  </si>
  <si>
    <t>31.10.2024</t>
  </si>
  <si>
    <t>Д-817815</t>
  </si>
  <si>
    <t>9724127689</t>
  </si>
  <si>
    <t>ООО "ЭКОГРИН"</t>
  </si>
  <si>
    <t>С-556614</t>
  </si>
  <si>
    <t>Б-999403</t>
  </si>
  <si>
    <t>3098</t>
  </si>
  <si>
    <t>3097</t>
  </si>
  <si>
    <t>2217</t>
  </si>
  <si>
    <t>1614</t>
  </si>
  <si>
    <t>2066</t>
  </si>
  <si>
    <t>05.07.2024</t>
  </si>
  <si>
    <t>10-783597</t>
  </si>
  <si>
    <t>10-783655</t>
  </si>
  <si>
    <t>1397930/997</t>
  </si>
  <si>
    <t>507132/320</t>
  </si>
  <si>
    <t>А47</t>
  </si>
  <si>
    <t>07.10.2024</t>
  </si>
  <si>
    <t>1397930/1012</t>
  </si>
  <si>
    <t>05.11.2024</t>
  </si>
  <si>
    <t>В11051</t>
  </si>
  <si>
    <t>594</t>
  </si>
  <si>
    <t>06.11.2024</t>
  </si>
  <si>
    <t>5050132481</t>
  </si>
  <si>
    <t>ООО "МЕТАЛЛОКОМПЛЕКТ-СЕРВИС"</t>
  </si>
  <si>
    <t>603</t>
  </si>
  <si>
    <t>07.11.2024</t>
  </si>
  <si>
    <t>2293</t>
  </si>
  <si>
    <t>08.11.2024</t>
  </si>
  <si>
    <t>6166094734</t>
  </si>
  <si>
    <t>616601001</t>
  </si>
  <si>
    <t>ООО &lt;&lt;МИР&gt;&gt;</t>
  </si>
  <si>
    <t>А48</t>
  </si>
  <si>
    <t>В11111</t>
  </si>
  <si>
    <t>11.11.2024</t>
  </si>
  <si>
    <t>507132/369</t>
  </si>
  <si>
    <t>57492/5959</t>
  </si>
  <si>
    <t>РТ-3</t>
  </si>
  <si>
    <t>5047301644</t>
  </si>
  <si>
    <t>ООО "РТА"</t>
  </si>
  <si>
    <t>16350</t>
  </si>
  <si>
    <t>13.11.2024</t>
  </si>
  <si>
    <t>2342</t>
  </si>
  <si>
    <t>А50</t>
  </si>
  <si>
    <t>14.11.2024</t>
  </si>
  <si>
    <t>П141124-004</t>
  </si>
  <si>
    <t>608</t>
  </si>
  <si>
    <t>5042135506</t>
  </si>
  <si>
    <t>ООО "ТД ИТС-СЕВЕР"</t>
  </si>
  <si>
    <t>3266</t>
  </si>
  <si>
    <t>15.11.2024</t>
  </si>
  <si>
    <t>13862095-МСК</t>
  </si>
  <si>
    <t>13862092-МСК</t>
  </si>
  <si>
    <t>13862097-МСК</t>
  </si>
  <si>
    <t>В11182</t>
  </si>
  <si>
    <t>18.11.2024</t>
  </si>
  <si>
    <t>А53</t>
  </si>
  <si>
    <t>А54</t>
  </si>
  <si>
    <t>01.11.2024</t>
  </si>
  <si>
    <t>627</t>
  </si>
  <si>
    <t>19.11.2024</t>
  </si>
  <si>
    <t>ВС1911006</t>
  </si>
  <si>
    <t>7719484466</t>
  </si>
  <si>
    <t>ООО "ВЕКТОР-С"</t>
  </si>
  <si>
    <t>2392</t>
  </si>
  <si>
    <t>20.11.2024</t>
  </si>
  <si>
    <t>29554998</t>
  </si>
  <si>
    <t>А52</t>
  </si>
  <si>
    <t>А58</t>
  </si>
  <si>
    <t>22.11.2024</t>
  </si>
  <si>
    <t>737</t>
  </si>
  <si>
    <t>26.11.2024</t>
  </si>
  <si>
    <t>21466300000001</t>
  </si>
  <si>
    <t>27.11.2024</t>
  </si>
  <si>
    <t>1039835/0163</t>
  </si>
  <si>
    <t>29.11.2024</t>
  </si>
  <si>
    <t>В11292</t>
  </si>
  <si>
    <t>8728</t>
  </si>
  <si>
    <t>6989</t>
  </si>
  <si>
    <t>30.11.2024</t>
  </si>
  <si>
    <t>3434</t>
  </si>
  <si>
    <t>3435</t>
  </si>
  <si>
    <t>3436</t>
  </si>
  <si>
    <t>11-756905</t>
  </si>
  <si>
    <t>11-756950</t>
  </si>
  <si>
    <t>П021224-007</t>
  </si>
  <si>
    <t>02.12.2024</t>
  </si>
  <si>
    <t>14730729-МСК</t>
  </si>
  <si>
    <t>04.12.2024</t>
  </si>
  <si>
    <t>21466300000002</t>
  </si>
  <si>
    <t>06.12.2024</t>
  </si>
  <si>
    <t>20241209-003705</t>
  </si>
  <si>
    <t>09.12.2024</t>
  </si>
  <si>
    <t>А55</t>
  </si>
  <si>
    <t>А57</t>
  </si>
  <si>
    <t>А60</t>
  </si>
  <si>
    <t>03.12.2024</t>
  </si>
  <si>
    <t>А59</t>
  </si>
  <si>
    <t>247</t>
  </si>
  <si>
    <t>12.12.2024</t>
  </si>
  <si>
    <t>5042148978</t>
  </si>
  <si>
    <t>ООО "РЕМЕКС"</t>
  </si>
  <si>
    <t>П151224-004</t>
  </si>
  <si>
    <t>15.12.2024</t>
  </si>
  <si>
    <t>3599</t>
  </si>
  <si>
    <t>16.12.2024</t>
  </si>
  <si>
    <t>1612/1</t>
  </si>
  <si>
    <t>П181224-003</t>
  </si>
  <si>
    <t>18.12.2024</t>
  </si>
  <si>
    <t>А56</t>
  </si>
  <si>
    <t>32761/114</t>
  </si>
  <si>
    <t>20.12.2024</t>
  </si>
  <si>
    <t>377125/5318</t>
  </si>
  <si>
    <t>56195/5541</t>
  </si>
  <si>
    <t>35076136</t>
  </si>
  <si>
    <t>15490381-МСК</t>
  </si>
  <si>
    <t>22.12.2024</t>
  </si>
  <si>
    <t>15490380-МСК</t>
  </si>
  <si>
    <t>А61</t>
  </si>
  <si>
    <t>В12232</t>
  </si>
  <si>
    <t>23.12.2024</t>
  </si>
  <si>
    <t>18950</t>
  </si>
  <si>
    <t>32323/4231</t>
  </si>
  <si>
    <t>А63</t>
  </si>
  <si>
    <t>317</t>
  </si>
  <si>
    <t>24.12.2024</t>
  </si>
  <si>
    <t>522</t>
  </si>
  <si>
    <t>ПР02512-3</t>
  </si>
  <si>
    <t>25.12.2024</t>
  </si>
  <si>
    <t>9722050286</t>
  </si>
  <si>
    <t>ООО "ПАРУС"</t>
  </si>
  <si>
    <t>А62</t>
  </si>
  <si>
    <t>17.12.2024</t>
  </si>
  <si>
    <t>А65</t>
  </si>
  <si>
    <t>56195/5772</t>
  </si>
  <si>
    <t>26.12.2024</t>
  </si>
  <si>
    <t>1070589/0395</t>
  </si>
  <si>
    <t>ВС2612001</t>
  </si>
  <si>
    <t>773001001</t>
  </si>
  <si>
    <t>В12272</t>
  </si>
  <si>
    <t>27.12.2024</t>
  </si>
  <si>
    <t>А64</t>
  </si>
  <si>
    <t>А66</t>
  </si>
  <si>
    <t>А68</t>
  </si>
  <si>
    <t>3012/2</t>
  </si>
  <si>
    <t>30.12.2024</t>
  </si>
  <si>
    <t>7617</t>
  </si>
  <si>
    <t>31.12.2024</t>
  </si>
  <si>
    <t>3745</t>
  </si>
  <si>
    <t>3743</t>
  </si>
  <si>
    <t>3744</t>
  </si>
  <si>
    <t>12-928852</t>
  </si>
  <si>
    <t>12-136003</t>
  </si>
  <si>
    <t>1 кв. 2025</t>
  </si>
  <si>
    <t>130924-0003</t>
  </si>
  <si>
    <t>01.01.2025</t>
  </si>
  <si>
    <t>7729464780</t>
  </si>
  <si>
    <t>ООО "СТАЛЬНАЯ ПТИЦА"</t>
  </si>
  <si>
    <t>28792/3</t>
  </si>
  <si>
    <t>07.01.2025</t>
  </si>
  <si>
    <t>3702262147</t>
  </si>
  <si>
    <t>ООО "ЭКОПЛЮС-М"</t>
  </si>
  <si>
    <t>В1131</t>
  </si>
  <si>
    <t>13.01.2025</t>
  </si>
  <si>
    <t>А67</t>
  </si>
  <si>
    <t>П140125-003</t>
  </si>
  <si>
    <t>14.01.2025</t>
  </si>
  <si>
    <t>20.02.2025</t>
  </si>
  <si>
    <t>16.01.2025</t>
  </si>
  <si>
    <t>10.01.2025</t>
  </si>
  <si>
    <t>В1171</t>
  </si>
  <si>
    <t>17.01.2025</t>
  </si>
  <si>
    <t>118001</t>
  </si>
  <si>
    <t>18.01.2025</t>
  </si>
  <si>
    <t>7733618175</t>
  </si>
  <si>
    <t>ООО "ПФ ОСВ ПАК"</t>
  </si>
  <si>
    <t>74</t>
  </si>
  <si>
    <t>20.01.2025</t>
  </si>
  <si>
    <t>5036123492</t>
  </si>
  <si>
    <t>ООО "АВТОВИРАЖ"</t>
  </si>
  <si>
    <t>0426136-МСК</t>
  </si>
  <si>
    <t>21.01.2025</t>
  </si>
  <si>
    <t>0426134-МСК</t>
  </si>
  <si>
    <t>0426129-МСК</t>
  </si>
  <si>
    <t>0426130-МСК</t>
  </si>
  <si>
    <t>24.01.2025</t>
  </si>
  <si>
    <t>В1271</t>
  </si>
  <si>
    <t>27.01.2025</t>
  </si>
  <si>
    <t>П270125-001</t>
  </si>
  <si>
    <t>127003</t>
  </si>
  <si>
    <t>1000522/0395</t>
  </si>
  <si>
    <t>28.01.2025</t>
  </si>
  <si>
    <t>3558968</t>
  </si>
  <si>
    <t>29.01.2025</t>
  </si>
  <si>
    <t>415</t>
  </si>
  <si>
    <t>31.01.2025</t>
  </si>
  <si>
    <t>199</t>
  </si>
  <si>
    <t>200</t>
  </si>
  <si>
    <t>201</t>
  </si>
  <si>
    <t>35</t>
  </si>
  <si>
    <t>0967796-МСК</t>
  </si>
  <si>
    <t>05.02.2025</t>
  </si>
  <si>
    <t>0967823-МСК</t>
  </si>
  <si>
    <t>110</t>
  </si>
  <si>
    <t>06.02.2025</t>
  </si>
  <si>
    <t>504202270603</t>
  </si>
  <si>
    <t>МАТВЕЕВА ГАЛИНА АЛЕКСАНДРОВНА</t>
  </si>
  <si>
    <t>В2071</t>
  </si>
  <si>
    <t>07.02.2025</t>
  </si>
  <si>
    <t>В2102</t>
  </si>
  <si>
    <t>10.02.2025</t>
  </si>
  <si>
    <t>1871</t>
  </si>
  <si>
    <t>11.02.2025</t>
  </si>
  <si>
    <t>13.02.2025</t>
  </si>
  <si>
    <t>341</t>
  </si>
  <si>
    <t>17.02.2025</t>
  </si>
  <si>
    <t>5042148061</t>
  </si>
  <si>
    <t>ООО "СК"</t>
  </si>
  <si>
    <t>1902003</t>
  </si>
  <si>
    <t>19.02.2025</t>
  </si>
  <si>
    <t>9722040295</t>
  </si>
  <si>
    <t>ООО "ИНВЕНТАРЬ"</t>
  </si>
  <si>
    <t>2366</t>
  </si>
  <si>
    <t>2367</t>
  </si>
  <si>
    <t>3702184812</t>
  </si>
  <si>
    <t>ООО "ПРОМПОЛИМЕРЫ"</t>
  </si>
  <si>
    <t>1471514-МСК</t>
  </si>
  <si>
    <t>21.02.2025</t>
  </si>
  <si>
    <t>226002</t>
  </si>
  <si>
    <t>26.02.2025</t>
  </si>
  <si>
    <t>1053</t>
  </si>
  <si>
    <t>28.02.2025</t>
  </si>
  <si>
    <t>474</t>
  </si>
  <si>
    <t>476</t>
  </si>
  <si>
    <t>228006</t>
  </si>
  <si>
    <t>В3032</t>
  </si>
  <si>
    <t>03.03.2025</t>
  </si>
  <si>
    <t>В3033</t>
  </si>
  <si>
    <t>В3052</t>
  </si>
  <si>
    <t>05.03.2025</t>
  </si>
  <si>
    <t>382</t>
  </si>
  <si>
    <t>06.03.2025</t>
  </si>
  <si>
    <t>351124491522</t>
  </si>
  <si>
    <t>КОПОСОВ ДМИТРИЙ СЕРГЕЕВИЧ</t>
  </si>
  <si>
    <t>10364767</t>
  </si>
  <si>
    <t>08.03.2025</t>
  </si>
  <si>
    <t>В3171</t>
  </si>
  <si>
    <t>17.03.2025</t>
  </si>
  <si>
    <t>10.03.2025</t>
  </si>
  <si>
    <t>12.03.2025</t>
  </si>
  <si>
    <t>101</t>
  </si>
  <si>
    <t>13.03.2025</t>
  </si>
  <si>
    <t>40</t>
  </si>
  <si>
    <t>ПР01403-1</t>
  </si>
  <si>
    <t>14.03.2025</t>
  </si>
  <si>
    <t>645</t>
  </si>
  <si>
    <t>538324/443</t>
  </si>
  <si>
    <t>2150218-МСК</t>
  </si>
  <si>
    <t>18.03.2025</t>
  </si>
  <si>
    <t>В3202</t>
  </si>
  <si>
    <t>20.03.2025</t>
  </si>
  <si>
    <t>19.03.2025</t>
  </si>
  <si>
    <t>В3191</t>
  </si>
  <si>
    <t>56195/1908</t>
  </si>
  <si>
    <t>24.03.2025</t>
  </si>
  <si>
    <t>1006388/0163</t>
  </si>
  <si>
    <t>26.03.2025</t>
  </si>
  <si>
    <t>В3272</t>
  </si>
  <si>
    <t>27.03.2025</t>
  </si>
  <si>
    <t>В3282</t>
  </si>
  <si>
    <t>28.03.2025</t>
  </si>
  <si>
    <t>1684</t>
  </si>
  <si>
    <t>31.03.2025</t>
  </si>
  <si>
    <t>В3312</t>
  </si>
  <si>
    <t>860</t>
  </si>
  <si>
    <t>3103003</t>
  </si>
  <si>
    <t>03-825123</t>
  </si>
  <si>
    <t>0802773-МСК</t>
  </si>
  <si>
    <t>2 кв. 2025</t>
  </si>
  <si>
    <t>56350</t>
  </si>
  <si>
    <t>01.04.2025</t>
  </si>
  <si>
    <t>5250056647</t>
  </si>
  <si>
    <t>524501001</t>
  </si>
  <si>
    <t>ООО "ИТЕКО РОССИЯ"</t>
  </si>
  <si>
    <t>В4013</t>
  </si>
  <si>
    <t>15075944</t>
  </si>
  <si>
    <t>03.04.2025</t>
  </si>
  <si>
    <t>4986</t>
  </si>
  <si>
    <t>02.04.2025</t>
  </si>
  <si>
    <t>5098</t>
  </si>
  <si>
    <t>05.04.2025</t>
  </si>
  <si>
    <t>В4102</t>
  </si>
  <si>
    <t>10.04.2025</t>
  </si>
  <si>
    <t>07.04.2025</t>
  </si>
  <si>
    <t>В4153</t>
  </si>
  <si>
    <t>15.04.2025</t>
  </si>
  <si>
    <t>В4072</t>
  </si>
  <si>
    <t>5187</t>
  </si>
  <si>
    <t>08.04.2025</t>
  </si>
  <si>
    <t>В4082</t>
  </si>
  <si>
    <t>2867691-МСК</t>
  </si>
  <si>
    <t>1004003</t>
  </si>
  <si>
    <t>9719033731</t>
  </si>
  <si>
    <t>ООО "ФЛАГМАН 2"</t>
  </si>
  <si>
    <t>979</t>
  </si>
  <si>
    <t>В4152</t>
  </si>
  <si>
    <t>000000000243</t>
  </si>
  <si>
    <t>21.04.2025</t>
  </si>
  <si>
    <t>17.04.2025</t>
  </si>
  <si>
    <t>В4221</t>
  </si>
  <si>
    <t>22.04.2025</t>
  </si>
  <si>
    <t>3322680-МСК</t>
  </si>
  <si>
    <t>24.04.2025</t>
  </si>
  <si>
    <t>В4281</t>
  </si>
  <si>
    <t>28.04.2025</t>
  </si>
  <si>
    <t>1157</t>
  </si>
  <si>
    <t>29.04.2025</t>
  </si>
  <si>
    <t>1156</t>
  </si>
  <si>
    <t>В4292</t>
  </si>
  <si>
    <t>2327</t>
  </si>
  <si>
    <t>30.04.2025</t>
  </si>
  <si>
    <t>04-941353</t>
  </si>
  <si>
    <t>04-941406</t>
  </si>
  <si>
    <t>3300009909</t>
  </si>
  <si>
    <t>330001001</t>
  </si>
  <si>
    <t>ООО ГК "ИМПЕРИЯ"</t>
  </si>
  <si>
    <t>01.05.2025</t>
  </si>
  <si>
    <t>09.04.2025</t>
  </si>
  <si>
    <t>В5052</t>
  </si>
  <si>
    <t>05.05.2025</t>
  </si>
  <si>
    <t>06.05.2025</t>
  </si>
  <si>
    <t>18.04.2025</t>
  </si>
  <si>
    <t>В5091</t>
  </si>
  <si>
    <t>09.05.2025</t>
  </si>
  <si>
    <t>В5131</t>
  </si>
  <si>
    <t>13.05.2025</t>
  </si>
  <si>
    <t>3766839-МСК</t>
  </si>
  <si>
    <t>14.05.2025</t>
  </si>
  <si>
    <t>3766838-МСК</t>
  </si>
  <si>
    <t>В5062</t>
  </si>
  <si>
    <t>04.06.2025</t>
  </si>
  <si>
    <t>16.05.2025</t>
  </si>
  <si>
    <t>1264</t>
  </si>
  <si>
    <t>В5164</t>
  </si>
  <si>
    <t>7730319297</t>
  </si>
  <si>
    <t>ООО "ВИРАЖ"</t>
  </si>
  <si>
    <t>1605003</t>
  </si>
  <si>
    <t>125</t>
  </si>
  <si>
    <t>17.05.2025</t>
  </si>
  <si>
    <t>3300006023</t>
  </si>
  <si>
    <t>ООО "БЕТОНСТРОЙМОНТАЖ"</t>
  </si>
  <si>
    <t>В5172</t>
  </si>
  <si>
    <t>3937333-МСК</t>
  </si>
  <si>
    <t>20.05.2025</t>
  </si>
  <si>
    <t>3937331-МСК</t>
  </si>
  <si>
    <t>148</t>
  </si>
  <si>
    <t>22.05.2025</t>
  </si>
  <si>
    <t>В5223</t>
  </si>
  <si>
    <t>В5222</t>
  </si>
  <si>
    <t>23.05.2025</t>
  </si>
  <si>
    <t>В5263</t>
  </si>
  <si>
    <t>26.05.2025</t>
  </si>
  <si>
    <t>00000226</t>
  </si>
  <si>
    <t>3301023208</t>
  </si>
  <si>
    <t>330101001</t>
  </si>
  <si>
    <t>ООО "ТРАНСКО"</t>
  </si>
  <si>
    <t>00000227</t>
  </si>
  <si>
    <t>21.05.2025</t>
  </si>
  <si>
    <t>27.05.2025</t>
  </si>
  <si>
    <t>4595</t>
  </si>
  <si>
    <t>29.05.2025</t>
  </si>
  <si>
    <t>УТ-1407</t>
  </si>
  <si>
    <t>30.05.2025</t>
  </si>
  <si>
    <t>В5303</t>
  </si>
  <si>
    <t>2975</t>
  </si>
  <si>
    <t>31.05.2025</t>
  </si>
  <si>
    <t>05-884167</t>
  </si>
  <si>
    <t>05-884229</t>
  </si>
  <si>
    <t>05-1163513</t>
  </si>
  <si>
    <t>1161697/0287</t>
  </si>
  <si>
    <t>03.06.2025</t>
  </si>
  <si>
    <t>5028867/0287</t>
  </si>
  <si>
    <t>4383190-МСК</t>
  </si>
  <si>
    <t>4383187-МСК</t>
  </si>
  <si>
    <t>4383189-МСК</t>
  </si>
  <si>
    <t>В6044</t>
  </si>
  <si>
    <t>4415385-МСК</t>
  </si>
  <si>
    <t>506001</t>
  </si>
  <si>
    <t>05.06.2025</t>
  </si>
  <si>
    <t>06.06.2025</t>
  </si>
  <si>
    <t>56195/4613</t>
  </si>
  <si>
    <t>09.06.2025</t>
  </si>
  <si>
    <t>532060/131</t>
  </si>
  <si>
    <t>56195/4614</t>
  </si>
  <si>
    <t>56195/4612</t>
  </si>
  <si>
    <t>56195/4719</t>
  </si>
  <si>
    <t>11.06.2025</t>
  </si>
  <si>
    <t>147</t>
  </si>
  <si>
    <t>3705065919</t>
  </si>
  <si>
    <t>370501001</t>
  </si>
  <si>
    <t>ООО "УТБО"</t>
  </si>
  <si>
    <t>В6162</t>
  </si>
  <si>
    <t>16.06.2025</t>
  </si>
  <si>
    <t>17.06.2025</t>
  </si>
  <si>
    <t>1906005472-МСК</t>
  </si>
  <si>
    <t>19.06.2025</t>
  </si>
  <si>
    <t>1906005473-МСК</t>
  </si>
  <si>
    <t>1520</t>
  </si>
  <si>
    <t>20.06.2025</t>
  </si>
  <si>
    <t>9722050960</t>
  </si>
  <si>
    <t>ООО "ТК ВОСТОК"</t>
  </si>
  <si>
    <t>В6202</t>
  </si>
  <si>
    <t>10.06.2025</t>
  </si>
  <si>
    <t>В6232</t>
  </si>
  <si>
    <t>23.06.2025</t>
  </si>
  <si>
    <t>26.06.2025</t>
  </si>
  <si>
    <t>06-902606</t>
  </si>
  <si>
    <t>30.06.2025</t>
  </si>
  <si>
    <t>3006001</t>
  </si>
  <si>
    <t>3652</t>
  </si>
  <si>
    <t>3 кв. 2025</t>
  </si>
  <si>
    <t>В7041</t>
  </si>
  <si>
    <t>04.07.2025</t>
  </si>
  <si>
    <t>22313/947</t>
  </si>
  <si>
    <t>07.07.2025</t>
  </si>
  <si>
    <t>2489131/102</t>
  </si>
  <si>
    <t>106</t>
  </si>
  <si>
    <t>7321009921</t>
  </si>
  <si>
    <t>732101001</t>
  </si>
  <si>
    <t>ООО "УЛВТОР"</t>
  </si>
  <si>
    <t>В7142</t>
  </si>
  <si>
    <t>14.07.2025</t>
  </si>
  <si>
    <t>38999701</t>
  </si>
  <si>
    <t>16.07.2025</t>
  </si>
  <si>
    <t>111335</t>
  </si>
  <si>
    <t>18.07.2025</t>
  </si>
  <si>
    <t>В7212</t>
  </si>
  <si>
    <t>21.07.2025</t>
  </si>
  <si>
    <t>13333</t>
  </si>
  <si>
    <t>24.07.2025</t>
  </si>
  <si>
    <t>В7301</t>
  </si>
  <si>
    <t>30.07.2025</t>
  </si>
  <si>
    <t>4338</t>
  </si>
  <si>
    <t>31.07.2025</t>
  </si>
  <si>
    <t>В8021</t>
  </si>
  <si>
    <t>02.08.2025</t>
  </si>
  <si>
    <t>В8031</t>
  </si>
  <si>
    <t>03.08.2025</t>
  </si>
  <si>
    <t>В8052</t>
  </si>
  <si>
    <t>05.08.2025</t>
  </si>
  <si>
    <t>6316226870</t>
  </si>
  <si>
    <t>631601001</t>
  </si>
  <si>
    <t>ООО "ТБО-ЭКОАРХИВ"</t>
  </si>
  <si>
    <t>В8062</t>
  </si>
  <si>
    <t>06.08.2025</t>
  </si>
  <si>
    <t>В8081</t>
  </si>
  <si>
    <t>08.08.2025</t>
  </si>
  <si>
    <t>В8191</t>
  </si>
  <si>
    <t>19.08.2025</t>
  </si>
  <si>
    <t>В8212</t>
  </si>
  <si>
    <t>21.08.2025</t>
  </si>
  <si>
    <t>В8241</t>
  </si>
  <si>
    <t>24.08.2025</t>
  </si>
  <si>
    <t>В8251</t>
  </si>
  <si>
    <t>25.08.2025</t>
  </si>
  <si>
    <t>В8291</t>
  </si>
  <si>
    <t>29.08.2025</t>
  </si>
  <si>
    <t>1015709/0273</t>
  </si>
  <si>
    <t>01.09.2025</t>
  </si>
  <si>
    <t>В9152</t>
  </si>
  <si>
    <t>15.09.2025</t>
  </si>
  <si>
    <t>В9162</t>
  </si>
  <si>
    <t>16.09.2025</t>
  </si>
  <si>
    <t>В9252</t>
  </si>
  <si>
    <t>25.09.2025</t>
  </si>
  <si>
    <t>В9262</t>
  </si>
  <si>
    <t>26.09.2025</t>
  </si>
  <si>
    <t>В9292</t>
  </si>
  <si>
    <t>29.09.2025</t>
  </si>
  <si>
    <t>4 кв. 2025</t>
  </si>
  <si>
    <t>25.06.2025</t>
  </si>
  <si>
    <t>54</t>
  </si>
  <si>
    <t>В10021</t>
  </si>
  <si>
    <t>02.10.2025</t>
  </si>
  <si>
    <t>10.10.2025</t>
  </si>
  <si>
    <t xml:space="preserve">Сведения из книги продаж об операциях, отражаемых за истекший налоговый период </t>
  </si>
  <si>
    <t>Сведения о покупателе</t>
  </si>
  <si>
    <t>Стоимость продаж с НДС
(стр. 160)</t>
  </si>
  <si>
    <t>Стоимость продаж облагаемых налогом (в руб.) без НДС
(стр. 170)</t>
  </si>
  <si>
    <t>Сумма НДС
20%
(стр. 200)</t>
  </si>
  <si>
    <t>23.05.2021</t>
  </si>
  <si>
    <t>2615801672</t>
  </si>
  <si>
    <t>261501001</t>
  </si>
  <si>
    <t>ООО "ПРОФТЕХНОПЛАСТ"</t>
  </si>
  <si>
    <t>27.05.2021</t>
  </si>
  <si>
    <t>5027284260</t>
  </si>
  <si>
    <t>ООО "ПОЛИХИМ"</t>
  </si>
  <si>
    <t>28.05.2021</t>
  </si>
  <si>
    <t>3525460243</t>
  </si>
  <si>
    <t>352501001</t>
  </si>
  <si>
    <t>ООО "ВЗПТ-35"</t>
  </si>
  <si>
    <t>02.06.2021</t>
  </si>
  <si>
    <t>7610132593</t>
  </si>
  <si>
    <t>ООО "ГОРИЗОНТ"</t>
  </si>
  <si>
    <t>08.06.2021</t>
  </si>
  <si>
    <t>9721041810</t>
  </si>
  <si>
    <t>ООО "ПЛАЦПЛАСТИК"</t>
  </si>
  <si>
    <t>10</t>
  </si>
  <si>
    <t>08.07.2021</t>
  </si>
  <si>
    <t>22.07.2021</t>
  </si>
  <si>
    <t>12</t>
  </si>
  <si>
    <t>29.07.2021</t>
  </si>
  <si>
    <t>09.08.2021</t>
  </si>
  <si>
    <t>16.09.2021</t>
  </si>
  <si>
    <t>29.09.2021</t>
  </si>
  <si>
    <t>29.10.2021</t>
  </si>
  <si>
    <t>1650340983</t>
  </si>
  <si>
    <t>165001001</t>
  </si>
  <si>
    <t>ООО "КАМВТОР ГРУПП"</t>
  </si>
  <si>
    <t>29.11.2021</t>
  </si>
  <si>
    <t>7817311045</t>
  </si>
  <si>
    <t>781701001</t>
  </si>
  <si>
    <t>ООО  "ТАРА.РУ"</t>
  </si>
  <si>
    <t>9723070616</t>
  </si>
  <si>
    <t>ООО "ПЛАЦМАРКЕТ"</t>
  </si>
  <si>
    <t>14.12.2021</t>
  </si>
  <si>
    <t>14.01.2022</t>
  </si>
  <si>
    <t>19.01.2022</t>
  </si>
  <si>
    <t>26.01.2022</t>
  </si>
  <si>
    <t>590200296099</t>
  </si>
  <si>
    <t>ФУКАЛОВ ЮРИЙ ВАСИЛЬЕВИЧ</t>
  </si>
  <si>
    <t>02.02.2022</t>
  </si>
  <si>
    <t>04.02.2022</t>
  </si>
  <si>
    <t>5252034208</t>
  </si>
  <si>
    <t>525201001</t>
  </si>
  <si>
    <t>ООО "ГРИНДЕКИНГ"</t>
  </si>
  <si>
    <t>11.02.2022</t>
  </si>
  <si>
    <t>14.02.2022</t>
  </si>
  <si>
    <t>21.02.2022</t>
  </si>
  <si>
    <t>28.03.2022</t>
  </si>
  <si>
    <t>13.04.2022</t>
  </si>
  <si>
    <t>14.04.2022</t>
  </si>
  <si>
    <t>7743154268</t>
  </si>
  <si>
    <t>774301001</t>
  </si>
  <si>
    <t>ООО СТРОЙСПЕЦТОРГ "ТРУДЪ"</t>
  </si>
  <si>
    <t>26.04.2022</t>
  </si>
  <si>
    <t>7813632792</t>
  </si>
  <si>
    <t>470601001</t>
  </si>
  <si>
    <t>ООО "КОРПЛАСТ"</t>
  </si>
  <si>
    <t>05.05.2022</t>
  </si>
  <si>
    <t>5250067198</t>
  </si>
  <si>
    <t>525001001</t>
  </si>
  <si>
    <t>ООО "РЕНТКАР"</t>
  </si>
  <si>
    <t>24.06.2022</t>
  </si>
  <si>
    <t>06.07.2022</t>
  </si>
  <si>
    <t>15.07.2022</t>
  </si>
  <si>
    <t>5252048306</t>
  </si>
  <si>
    <t>ООО "АВТОТЕХПЛАСТ"</t>
  </si>
  <si>
    <t>27</t>
  </si>
  <si>
    <t>27.07.2022</t>
  </si>
  <si>
    <t>04.08.2022</t>
  </si>
  <si>
    <t>30</t>
  </si>
  <si>
    <t>11.08.2022</t>
  </si>
  <si>
    <t>7718940412</t>
  </si>
  <si>
    <t>401145001</t>
  </si>
  <si>
    <t>ООО "ЭВЕЛАК"</t>
  </si>
  <si>
    <t>32</t>
  </si>
  <si>
    <t>06.09.2022</t>
  </si>
  <si>
    <t>5252043178</t>
  </si>
  <si>
    <t>ООО "ЛИБРЭТ"</t>
  </si>
  <si>
    <t>14.09.2022</t>
  </si>
  <si>
    <t>26.09.2022</t>
  </si>
  <si>
    <t>44</t>
  </si>
  <si>
    <t>06.10.2022</t>
  </si>
  <si>
    <t>07.10.2022</t>
  </si>
  <si>
    <t>45</t>
  </si>
  <si>
    <t>19.10.2022</t>
  </si>
  <si>
    <t>47</t>
  </si>
  <si>
    <t>6714051604</t>
  </si>
  <si>
    <t>671401001</t>
  </si>
  <si>
    <t>ООО "ВЕНЛЕ"</t>
  </si>
  <si>
    <t>10.11.2022</t>
  </si>
  <si>
    <t>49</t>
  </si>
  <si>
    <t>25.11.2022</t>
  </si>
  <si>
    <t>5720025671</t>
  </si>
  <si>
    <t>572001001</t>
  </si>
  <si>
    <t>ООО "ДЕЛЬТА"</t>
  </si>
  <si>
    <t>07.12.2022</t>
  </si>
  <si>
    <t>13.12.2022</t>
  </si>
  <si>
    <t>3661057594</t>
  </si>
  <si>
    <t>366101001</t>
  </si>
  <si>
    <t>ООО "ТРУБЫ ЧЕРНОЗЕМЬЯ"</t>
  </si>
  <si>
    <t>21.12.2022</t>
  </si>
  <si>
    <t>13.01.2023</t>
  </si>
  <si>
    <t>5037060654</t>
  </si>
  <si>
    <t>503701001</t>
  </si>
  <si>
    <t>ООО "ДИАЛОГ СТ"</t>
  </si>
  <si>
    <t>22.01.2023</t>
  </si>
  <si>
    <t>3460067747</t>
  </si>
  <si>
    <t>346001001</t>
  </si>
  <si>
    <t>ООО "ГОЛЬФСТРИМ"</t>
  </si>
  <si>
    <t>03.02.2023</t>
  </si>
  <si>
    <t>07.02.2023</t>
  </si>
  <si>
    <t>13.02.2023</t>
  </si>
  <si>
    <t>17.02.2023</t>
  </si>
  <si>
    <t>5231000751</t>
  </si>
  <si>
    <t>523101001</t>
  </si>
  <si>
    <t>АО "СОСНОВСКАГРОПРОМТЕХНИКА", АО "САПТ"</t>
  </si>
  <si>
    <t>5042105935</t>
  </si>
  <si>
    <t>ООО "ХАНГРУПП"</t>
  </si>
  <si>
    <t>03.03.2023</t>
  </si>
  <si>
    <t>22.03.2023</t>
  </si>
  <si>
    <t>5021019315</t>
  </si>
  <si>
    <t>502101001</t>
  </si>
  <si>
    <t>ООО "ЭКОТЕХПРОМ"</t>
  </si>
  <si>
    <t>01.04.2023</t>
  </si>
  <si>
    <t>56</t>
  </si>
  <si>
    <t>05.04.2023</t>
  </si>
  <si>
    <t>11.04.2023</t>
  </si>
  <si>
    <t>9724108936</t>
  </si>
  <si>
    <t>ООО "ПЛАЦСТАР"</t>
  </si>
  <si>
    <t>28.04.2023</t>
  </si>
  <si>
    <t>03.05.2023</t>
  </si>
  <si>
    <t>31</t>
  </si>
  <si>
    <t>10.05.2023</t>
  </si>
  <si>
    <t>18.05.2023</t>
  </si>
  <si>
    <t>19.05.2023</t>
  </si>
  <si>
    <t>24.05.2023</t>
  </si>
  <si>
    <t>380414908702</t>
  </si>
  <si>
    <t>ГУСЕЙНОВ РУСЛАН РАМАЗАНОВИЧ</t>
  </si>
  <si>
    <t>7714132189</t>
  </si>
  <si>
    <t>502401001</t>
  </si>
  <si>
    <t>ООО "ГЕКСА-НЕТКАНЫЕ МАТЕРИАЛЫ"</t>
  </si>
  <si>
    <t>29.05.2023</t>
  </si>
  <si>
    <t>59</t>
  </si>
  <si>
    <t>25.06.2023</t>
  </si>
  <si>
    <t>03.07.2023</t>
  </si>
  <si>
    <t>06.07.2023</t>
  </si>
  <si>
    <t>17.07.2023</t>
  </si>
  <si>
    <t>57</t>
  </si>
  <si>
    <t>20.07.2023</t>
  </si>
  <si>
    <t>58</t>
  </si>
  <si>
    <t>60</t>
  </si>
  <si>
    <t>63</t>
  </si>
  <si>
    <t>02.08.2023</t>
  </si>
  <si>
    <t>71</t>
  </si>
  <si>
    <t>72</t>
  </si>
  <si>
    <t>21.08.2023</t>
  </si>
  <si>
    <t>73</t>
  </si>
  <si>
    <t>23.08.2023</t>
  </si>
  <si>
    <t>3525480955</t>
  </si>
  <si>
    <t>ООО "ВЗСМ-35"</t>
  </si>
  <si>
    <t>95</t>
  </si>
  <si>
    <t>79</t>
  </si>
  <si>
    <t>06.09.2023</t>
  </si>
  <si>
    <t>7100038000</t>
  </si>
  <si>
    <t>ООО "МАКСИМА"</t>
  </si>
  <si>
    <t>80</t>
  </si>
  <si>
    <t>5038112418</t>
  </si>
  <si>
    <t>ООО "РИО-ПОЛИМЕР"</t>
  </si>
  <si>
    <t>96</t>
  </si>
  <si>
    <t>12.09.2023</t>
  </si>
  <si>
    <t>7716951225</t>
  </si>
  <si>
    <t>ООО "РЕ-ПЛАСТ"</t>
  </si>
  <si>
    <t>7611023540</t>
  </si>
  <si>
    <t>761101001</t>
  </si>
  <si>
    <t>ООО "РГК"</t>
  </si>
  <si>
    <t>92</t>
  </si>
  <si>
    <t>7726468539</t>
  </si>
  <si>
    <t>ООО "ПЛАСТИНДАСТРИАЛ"</t>
  </si>
  <si>
    <t>88</t>
  </si>
  <si>
    <t>04.10.2023</t>
  </si>
  <si>
    <t>89</t>
  </si>
  <si>
    <t>06.10.2023</t>
  </si>
  <si>
    <t>16.10.2023</t>
  </si>
  <si>
    <t>94</t>
  </si>
  <si>
    <t>98</t>
  </si>
  <si>
    <t>30.10.2023</t>
  </si>
  <si>
    <t>03.11.2023</t>
  </si>
  <si>
    <t>104</t>
  </si>
  <si>
    <t>105</t>
  </si>
  <si>
    <t>20.11.2023</t>
  </si>
  <si>
    <t>23.11.2023</t>
  </si>
  <si>
    <t>5042155703</t>
  </si>
  <si>
    <t>ООО "ПОЛИСТАР"</t>
  </si>
  <si>
    <t>112</t>
  </si>
  <si>
    <t>15.12.2023</t>
  </si>
  <si>
    <t>18.12.2023</t>
  </si>
  <si>
    <t>22.12.2023</t>
  </si>
  <si>
    <t>115</t>
  </si>
  <si>
    <t>29.12.2023</t>
  </si>
  <si>
    <t>18.01.2024</t>
  </si>
  <si>
    <t>6230120286</t>
  </si>
  <si>
    <t>623001001</t>
  </si>
  <si>
    <t>ООО "КБ"</t>
  </si>
  <si>
    <t>29.01.2024</t>
  </si>
  <si>
    <t>5011039432</t>
  </si>
  <si>
    <t>501101001</t>
  </si>
  <si>
    <t>ООО "ЭКОЛАЙН-ВТОРПЛАСТ"</t>
  </si>
  <si>
    <t>14.02.2024</t>
  </si>
  <si>
    <t>5042142736</t>
  </si>
  <si>
    <t>ООО "НОВАТЕХ"</t>
  </si>
  <si>
    <t>5751063420</t>
  </si>
  <si>
    <t>575101001</t>
  </si>
  <si>
    <t>ООО "ВЕРТИКАЛЬ"</t>
  </si>
  <si>
    <t>7810837417</t>
  </si>
  <si>
    <t>ООО "СТС"</t>
  </si>
  <si>
    <t>28.03.2024</t>
  </si>
  <si>
    <t>01.04.2024</t>
  </si>
  <si>
    <t>072600194613</t>
  </si>
  <si>
    <t>АЛХАСОВ АЛЕКСАНДР ГАРИЕВИЧ</t>
  </si>
  <si>
    <t>7112028720</t>
  </si>
  <si>
    <t>711201001</t>
  </si>
  <si>
    <t>ООО "РЕСУРС-ЭСТЕЙТ"</t>
  </si>
  <si>
    <t>03.05.2024</t>
  </si>
  <si>
    <t>07.05.2024</t>
  </si>
  <si>
    <t>23.05.2024</t>
  </si>
  <si>
    <t>18.06.2024</t>
  </si>
  <si>
    <t>23.06.2024</t>
  </si>
  <si>
    <t>03.07.2024</t>
  </si>
  <si>
    <t>24.07.2024</t>
  </si>
  <si>
    <t>08.08.2024</t>
  </si>
  <si>
    <t>16.08.2024</t>
  </si>
  <si>
    <t>66</t>
  </si>
  <si>
    <t>4632227878</t>
  </si>
  <si>
    <t>ООО "СМАРТКОМ"</t>
  </si>
  <si>
    <t>68</t>
  </si>
  <si>
    <t>02.10.2024</t>
  </si>
  <si>
    <t>344504284345</t>
  </si>
  <si>
    <t>КОМПАНЕЦ ЛЕОНИД НИКОЛАЕВИЧ</t>
  </si>
  <si>
    <t>70</t>
  </si>
  <si>
    <t>17.10.2024</t>
  </si>
  <si>
    <t>23.10.2024</t>
  </si>
  <si>
    <t>29.10.2024</t>
  </si>
  <si>
    <t>7751231318</t>
  </si>
  <si>
    <t>ООО "ВТОРПОЛИМЕР"</t>
  </si>
  <si>
    <t>12.11.2024</t>
  </si>
  <si>
    <t>5252051926</t>
  </si>
  <si>
    <t>ООО "МЕТАВТОЧАСТЬ"</t>
  </si>
  <si>
    <t>10.12.2024</t>
  </si>
  <si>
    <t>9715272626</t>
  </si>
  <si>
    <t>ООО "ПЛАСТЭК"</t>
  </si>
  <si>
    <t>7713495888</t>
  </si>
  <si>
    <t>771301001</t>
  </si>
  <si>
    <t>ООО "ЭПТ"</t>
  </si>
  <si>
    <t>28.12.2024</t>
  </si>
  <si>
    <t>7733851742</t>
  </si>
  <si>
    <t>480201001</t>
  </si>
  <si>
    <t>ООО "ПРЕСТОРУСЬ"</t>
  </si>
  <si>
    <t>3435143507</t>
  </si>
  <si>
    <t>343501001</t>
  </si>
  <si>
    <t>ООО "СОЮЗ ЭКО СЕРВИС"</t>
  </si>
  <si>
    <t>14.02.2025</t>
  </si>
  <si>
    <t>18.02.2025</t>
  </si>
  <si>
    <t>5050160143</t>
  </si>
  <si>
    <t>ООО "ТЕХМОДУЛЬ"</t>
  </si>
  <si>
    <t>27.02.2025</t>
  </si>
  <si>
    <t>04.03.2025</t>
  </si>
  <si>
    <t>5032388089</t>
  </si>
  <si>
    <t>ООО ПК "БЕТТА ПЛАСТ"</t>
  </si>
  <si>
    <t>11.03.2025</t>
  </si>
  <si>
    <t>21.03.2025</t>
  </si>
  <si>
    <t>04.04.2025</t>
  </si>
  <si>
    <t>5009114611</t>
  </si>
  <si>
    <t>500901001</t>
  </si>
  <si>
    <t>ООО "ПЛАСТЕРМ"</t>
  </si>
  <si>
    <t>07.05.2025</t>
  </si>
  <si>
    <t>08.05.2025</t>
  </si>
  <si>
    <t>15.05.2025</t>
  </si>
  <si>
    <t>18.05.2025</t>
  </si>
  <si>
    <t>745220946693</t>
  </si>
  <si>
    <t>ШЕМАРЕВ СЕРГЕЙ ВЯЧЕСЛАВОВИЧ</t>
  </si>
  <si>
    <t>7743902347</t>
  </si>
  <si>
    <t>ООО "ЭКСТРУЗИОН"</t>
  </si>
  <si>
    <t>5074056670</t>
  </si>
  <si>
    <t>ООО "ПЛАСТКАД ТЕХНОЛОГИЯ"</t>
  </si>
  <si>
    <t>18.06.2025</t>
  </si>
  <si>
    <t>6230117558</t>
  </si>
  <si>
    <t>ООО "ХИМПРОМКОНСАЛТИНГ"</t>
  </si>
  <si>
    <t>3329093396</t>
  </si>
  <si>
    <t>ООО "АЛЬФАПАЙП"</t>
  </si>
  <si>
    <t>01.07.2025</t>
  </si>
  <si>
    <t>03.07.2025</t>
  </si>
  <si>
    <t>08.07.2025</t>
  </si>
  <si>
    <t>1300009461</t>
  </si>
  <si>
    <t>130001001</t>
  </si>
  <si>
    <t>ООО "СЗПК"</t>
  </si>
  <si>
    <t>10.07.2025</t>
  </si>
  <si>
    <t>22.07.2025</t>
  </si>
  <si>
    <t>23.07.2025</t>
  </si>
  <si>
    <t>25.07.2025</t>
  </si>
  <si>
    <t>1639021408</t>
  </si>
  <si>
    <t>ООО "АГРОПЛАСТ"</t>
  </si>
  <si>
    <t>3627023411</t>
  </si>
  <si>
    <t>362701001</t>
  </si>
  <si>
    <t>ООО "РТК-ПЛАСТ"</t>
  </si>
  <si>
    <t>07.08.2025</t>
  </si>
  <si>
    <t>14.08.2025</t>
  </si>
  <si>
    <t>22.08.2025</t>
  </si>
  <si>
    <t>28.08.2025</t>
  </si>
  <si>
    <t>3128104009</t>
  </si>
  <si>
    <t>312801001</t>
  </si>
  <si>
    <t>ООО "СПК "ЗАРЕЧЬЕ"</t>
  </si>
  <si>
    <t>31.08.2025</t>
  </si>
  <si>
    <t>1624014461</t>
  </si>
  <si>
    <t>165801001</t>
  </si>
  <si>
    <t>ООО "КАЗТЕХПЛАСТ"</t>
  </si>
  <si>
    <t>03.09.2025</t>
  </si>
  <si>
    <t>12.09.2025</t>
  </si>
  <si>
    <t>14.09.2025</t>
  </si>
  <si>
    <t>17.09.2025</t>
  </si>
  <si>
    <t>18.09.2025</t>
  </si>
  <si>
    <t>22.09.2025</t>
  </si>
  <si>
    <t>520300692133</t>
  </si>
  <si>
    <t>ПАТЕЯН АВАГ ВАРАЗДАТОВИЧ</t>
  </si>
  <si>
    <t>30.09.2025</t>
  </si>
  <si>
    <t>116</t>
  </si>
  <si>
    <t>06.10.2025</t>
  </si>
  <si>
    <t>12.10.2025</t>
  </si>
  <si>
    <t>15.10.2025</t>
  </si>
  <si>
    <t>17.10.2025</t>
  </si>
  <si>
    <t>21.10.2025</t>
  </si>
  <si>
    <t>122</t>
  </si>
  <si>
    <t>123</t>
  </si>
  <si>
    <t>26.10.2025</t>
  </si>
  <si>
    <t>124</t>
  </si>
  <si>
    <t>30.10.2025</t>
  </si>
  <si>
    <t>04.11.2025</t>
  </si>
  <si>
    <t>(ВСЕ)</t>
  </si>
  <si>
    <t>Стоимость продаж, руб.</t>
  </si>
  <si>
    <t>у.в., %</t>
  </si>
  <si>
    <t>Общий итог</t>
  </si>
  <si>
    <t>Названия строк</t>
  </si>
  <si>
    <t>Стоимость покупок, руб.</t>
  </si>
  <si>
    <t>СПРАВОЧНАЯ ИНФОРМАЦИЯ (коды видов операция по НДС:</t>
  </si>
  <si>
    <t xml:space="preserve">Код вида операции "01" - основной. Его используют для большинства операций по покупке товаров, работ, услуг, имущественных прав
</t>
  </si>
  <si>
    <t>Код вида операции "02" в книге покупок укажите, если регистрируете счет-фактуру продавца на выданный ему аванс (как на полный, так и на частичный)</t>
  </si>
  <si>
    <t>Код вида операции "02" укажите в книге продаж, если регистрируете счет-фактуру на полный или частичный аванс от покупателя.</t>
  </si>
  <si>
    <t xml:space="preserve">Код вида операции "10" отразите, если безвозмездно передали товары или имущественные права, выполнили работы или оказали услуги
</t>
  </si>
  <si>
    <t>Код вида операции "18" в книге продаж отражают покупатели, когда восстанавливают НДС по корректировочному счету-фактуре продавца на уменьшение стоимости отгрузки.</t>
  </si>
  <si>
    <t xml:space="preserve">Код вида операции "18" в книге покупок отражают продавцы, когда регистрируют корректировочный счет-фактуру на уменьшение стоимости отгрузки.
</t>
  </si>
  <si>
    <t xml:space="preserve">Код вида операции "20" также не используют для регистрации счетов-фактур. Его отражают импортеры, если регистрируют таможенную декларацию на товары, которые ввезены из стран, не входящих в ЕАЭС
</t>
  </si>
  <si>
    <t xml:space="preserve">Код вида операции "21" в книге продаж используйте во всех случаях, когда восстанавливаете НДС </t>
  </si>
  <si>
    <t>Код вида операции "22" в книге покупок указывает продавец, если регистрирует авансовый счет-фактуру</t>
  </si>
  <si>
    <t xml:space="preserve">Код вида операции "23" нужно отразить, если вы регистрируете в книге покупок БСО на представительские расходы и расходы на командировки (например, билеты на самолет или поезд).
</t>
  </si>
  <si>
    <t xml:space="preserve">Код вида операции "34" в книге продаж используют продавцы сырых шкур, металлолома и макулатуры
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</si>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</sst>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"/>
    <numFmt numFmtId="165" formatCode="#\ ###\ ###\ ###\ ##0.00"/>
    <numFmt numFmtId="166" formatCode="#\ ###\ ###\ ###\ ##0"/>
    <numFmt numFmtId="167" formatCode="dd\.mm\.yyyy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5" fillId="0" borderId="0" xfId="0" applyFont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165" fontId="0" fillId="0" borderId="0" xfId="0" applyNumberFormat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 wrapText="1"/>
    </xf>
    <xf numFmtId="165" fontId="1" fillId="0" borderId="10" xfId="0" applyNumberFormat="1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166" fontId="1" fillId="0" borderId="4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98">
    <dxf>
      <numFmt numFmtId="4" formatCode="#,##0.00"/>
    </dxf>
    <dxf>
      <numFmt numFmtId="4" formatCode="#,##0.00"/>
    </dxf>
    <dxf>
      <numFmt numFmtId="164" formatCode="#\ ##0.00"/>
    </dxf>
    <dxf>
      <alignment horizontal="center"/>
    </dxf>
    <dxf>
      <numFmt numFmtId="168" formatCode="#\ ##0.00_ "/>
    </dxf>
    <dxf>
      <alignment horizontal="center"/>
    </dxf>
    <dxf>
      <alignment horizontal="center"/>
    </dxf>
    <dxf>
      <numFmt numFmtId="14" formatCode="0.00%"/>
    </dxf>
    <dxf>
      <numFmt numFmtId="168" formatCode="#\ ##0.00_ "/>
    </dxf>
    <dxf>
      <numFmt numFmtId="168" formatCode="#\ ##0.0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42.5449421296" createdVersion="5" refreshedVersion="5" minRefreshableVersion="3" recordCount="567" xr:uid="{00000000-000A-0000-FFFF-FFFF00000000}">
  <cacheSource type="worksheet">
    <worksheetSource ref="A5:K572" sheet="Книга продаж"/>
  </cacheSource>
  <cacheFields count="11">
    <cacheField name="№_x000a__x000a_(стр. 005)" numFmtId="0">
      <sharedItems containsSemiMixedTypes="0" containsString="0" containsNumber="1" containsInteger="1" minValue="1" maxValue="567" count="5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</sharedItems>
    </cacheField>
    <cacheField name="налоговый период" numFmtId="0">
      <sharedItems count="19">
        <s v="2 кв. 2021"/>
        <s v="3 кв. 2021"/>
        <s v="4 кв. 2021"/>
        <s v="1 кв. 2022"/>
        <s v="2 кв. 2022"/>
        <s v="3 кв. 2022"/>
        <s v="4 кв. 2022"/>
        <s v="1 кв. 2023"/>
        <s v="2 кв. 2023"/>
        <s v="3 кв. 2023"/>
        <s v="4 кв. 2023"/>
        <s v="1 кв. 2024"/>
        <s v="2 кв. 2024"/>
        <s v="3 кв. 2024"/>
        <s v="4 кв. 2024"/>
        <s v="1 кв. 2025"/>
        <s v="2 кв. 2025"/>
        <s v="3 кв. 2025"/>
        <s v="4 кв. 2025"/>
      </sharedItems>
    </cacheField>
    <cacheField name="Код вида операции_x000a__x000a_(стр. 010)" numFmtId="0">
      <sharedItems count="3">
        <s v="01"/>
        <s v="02"/>
        <s v="21"/>
      </sharedItems>
    </cacheField>
    <cacheField name="№_x000a__x000a_(стр. 020)" numFmtId="0">
      <sharedItems count="199">
        <s v="2"/>
        <s v="А1"/>
        <s v="6"/>
        <s v="7"/>
        <s v="8"/>
        <s v="9"/>
        <s v="А2"/>
        <s v="10"/>
        <s v="А3"/>
        <s v="11"/>
        <s v="12"/>
        <s v="13"/>
        <s v="14"/>
        <s v="15"/>
        <s v="16"/>
        <s v="А4"/>
        <s v="17"/>
        <s v="18"/>
        <s v="А5"/>
        <s v="19"/>
        <s v="20"/>
        <s v="А6"/>
        <s v="21"/>
        <s v="А7"/>
        <s v="А8"/>
        <s v="1"/>
        <s v="5"/>
        <s v="3"/>
        <s v="4"/>
        <s v="23"/>
        <s v="24"/>
        <s v="22"/>
        <s v="А05"/>
        <s v="А9"/>
        <s v="25"/>
        <s v="26"/>
        <s v="А10"/>
        <s v="А11"/>
        <s v="27"/>
        <s v="37"/>
        <s v="28"/>
        <s v="29"/>
        <s v="30"/>
        <s v="34"/>
        <s v="А13"/>
        <s v="32"/>
        <s v="А14"/>
        <s v="36"/>
        <s v="А15"/>
        <s v="35"/>
        <s v="42"/>
        <s v="38"/>
        <s v="39"/>
        <s v="40"/>
        <s v="41"/>
        <s v="43"/>
        <s v="44"/>
        <s v="52"/>
        <s v="45"/>
        <s v="46"/>
        <s v="47"/>
        <s v="53"/>
        <s v="48"/>
        <s v="54"/>
        <s v="49"/>
        <s v="55"/>
        <s v="50"/>
        <s v="51"/>
        <s v="56"/>
        <s v="31"/>
        <s v="33"/>
        <s v="59"/>
        <s v="57"/>
        <s v="58"/>
        <s v="60"/>
        <s v="61"/>
        <s v="62"/>
        <s v="63"/>
        <s v="64"/>
        <s v="65"/>
        <s v="71"/>
        <s v="72"/>
        <s v="73"/>
        <s v="74"/>
        <s v="75"/>
        <s v="76"/>
        <s v="95"/>
        <s v="77"/>
        <s v="78"/>
        <s v="79"/>
        <s v="80"/>
        <s v="81"/>
        <s v="96"/>
        <s v="82"/>
        <s v="83"/>
        <s v="А18"/>
        <s v="84"/>
        <s v="85"/>
        <s v="86"/>
        <s v="92"/>
        <s v="А19"/>
        <s v="97"/>
        <s v="А20"/>
        <s v="87"/>
        <s v="88"/>
        <s v="89"/>
        <s v="90"/>
        <s v="91"/>
        <s v="А21"/>
        <s v="93"/>
        <s v="А22"/>
        <s v="94"/>
        <s v="98"/>
        <s v="99"/>
        <s v="А23"/>
        <s v="А24"/>
        <s v="100"/>
        <s v="А25"/>
        <s v="101"/>
        <s v="102"/>
        <s v="А26"/>
        <s v="103"/>
        <s v="104"/>
        <s v="А27"/>
        <s v="105"/>
        <s v="А28"/>
        <s v="106"/>
        <s v="107"/>
        <s v="108"/>
        <s v="А29"/>
        <s v="А30"/>
        <s v="109"/>
        <s v="110"/>
        <s v="111"/>
        <s v="А31"/>
        <s v="А32"/>
        <s v="112"/>
        <s v="113"/>
        <s v="114"/>
        <s v="А33"/>
        <s v="115"/>
        <s v="А12"/>
        <s v="А16"/>
        <s v="А17"/>
        <s v="А34"/>
        <s v="А35"/>
        <s v="А36"/>
        <s v="А37"/>
        <s v="А38"/>
        <s v="А39"/>
        <s v="А40"/>
        <s v="А41"/>
        <s v="А42"/>
        <s v="А43"/>
        <s v="66"/>
        <s v="А44"/>
        <s v="67"/>
        <s v="А45"/>
        <s v="68"/>
        <s v="А46"/>
        <s v="69"/>
        <s v="А47"/>
        <s v="70"/>
        <s v="А48"/>
        <s v="А49"/>
        <s v="А50"/>
        <s v="А51"/>
        <s v="А52"/>
        <s v="А53"/>
        <s v="А54"/>
        <s v="А55"/>
        <s v="А56"/>
        <s v="А57"/>
        <s v="А58"/>
        <s v="А59"/>
        <s v="А60"/>
        <s v="А61"/>
        <s v="А62"/>
        <s v="А63"/>
        <s v="А64"/>
        <s v="А65"/>
        <s v="А66"/>
        <s v="А67"/>
        <s v="А68"/>
        <s v="А1737"/>
        <s v="А3562"/>
        <s v="А4112"/>
        <s v="А4734"/>
        <s v="А4737"/>
        <s v="116"/>
        <s v="118"/>
        <s v="117"/>
        <s v="119"/>
        <s v="120"/>
        <s v="121"/>
        <s v="122"/>
        <s v="123"/>
        <s v="124"/>
        <s v="125"/>
      </sharedItems>
    </cacheField>
    <cacheField name="Дата_x000a__x000a_(стр. 030)" numFmtId="0">
      <sharedItems count="441">
        <s v="23.05.2021"/>
        <s v="25.05.2021"/>
        <s v="27.05.2021"/>
        <s v="28.05.2021"/>
        <s v="02.06.2021"/>
        <s v="08.06.2021"/>
        <s v="01.07.2021"/>
        <s v="08.07.2021"/>
        <s v="09.07.2021"/>
        <s v="22.07.2021"/>
        <s v="29.07.2021"/>
        <s v="09.08.2021"/>
        <s v="27.08.2021"/>
        <s v="16.09.2021"/>
        <s v="29.09.2021"/>
        <s v="20.10.2021"/>
        <s v="29.10.2021"/>
        <s v="01.11.2021"/>
        <s v="15.11.2021"/>
        <s v="29.11.2021"/>
        <s v="02.12.2021"/>
        <s v="14.12.2021"/>
        <s v="16.12.2021"/>
        <s v="24.12.2021"/>
        <s v="14.01.2022"/>
        <s v="18.01.2022"/>
        <s v="19.01.2022"/>
        <s v="26.01.2022"/>
        <s v="29.01.2022"/>
        <s v="30.01.2022"/>
        <s v="02.02.2022"/>
        <s v="04.02.2022"/>
        <s v="06.02.2022"/>
        <s v="11.02.2022"/>
        <s v="12.02.2022"/>
        <s v="14.02.2022"/>
        <s v="20.02.2022"/>
        <s v="21.02.2022"/>
        <s v="28.03.2022"/>
        <s v="13.04.2022"/>
        <s v="14.04.2022"/>
        <s v="26.04.2022"/>
        <s v="05.05.2022"/>
        <s v="18.05.2022"/>
        <s v="24.05.2022"/>
        <s v="30.05.2022"/>
        <s v="08.06.2022"/>
        <s v="15.06.2022"/>
        <s v="24.06.2022"/>
        <s v="27.06.2022"/>
        <s v="16.03.2022"/>
        <s v="09.06.2022"/>
        <s v="06.07.2022"/>
        <s v="15.07.2022"/>
        <s v="17.07.2022"/>
        <s v="21.07.2022"/>
        <s v="22.07.2022"/>
        <s v="27.07.2022"/>
        <s v="04.08.2022"/>
        <s v="11.08.2022"/>
        <s v="19.08.2022"/>
        <s v="23.08.2022"/>
        <s v="25.08.2022"/>
        <s v="26.08.2022"/>
        <s v="30.08.2022"/>
        <s v="05.09.2022"/>
        <s v="06.09.2022"/>
        <s v="14.09.2022"/>
        <s v="21.09.2022"/>
        <s v="26.09.2022"/>
        <s v="30.09.2022"/>
        <s v="06.10.2022"/>
        <s v="07.10.2022"/>
        <s v="12.10.2022"/>
        <s v="19.10.2022"/>
        <s v="02.11.2022"/>
        <s v="08.11.2022"/>
        <s v="10.11.2022"/>
        <s v="22.11.2022"/>
        <s v="25.11.2022"/>
        <s v="07.12.2022"/>
        <s v="13.12.2022"/>
        <s v="21.12.2022"/>
        <s v="09.01.2023"/>
        <s v="13.01.2023"/>
        <s v="22.01.2023"/>
        <s v="24.01.2023"/>
        <s v="31.01.2023"/>
        <s v="01.02.2023"/>
        <s v="03.02.2023"/>
        <s v="07.02.2023"/>
        <s v="13.02.2023"/>
        <s v="16.02.2023"/>
        <s v="17.02.2023"/>
        <s v="21.02.2023"/>
        <s v="24.02.2023"/>
        <s v="03.03.2023"/>
        <s v="09.03.2023"/>
        <s v="10.03.2023"/>
        <s v="11.03.2023"/>
        <s v="20.03.2023"/>
        <s v="22.03.2023"/>
        <s v="27.03.2023"/>
        <s v="30.03.2023"/>
        <s v="01.04.2023"/>
        <s v="05.04.2023"/>
        <s v="11.04.2023"/>
        <s v="25.04.2023"/>
        <s v="26.04.2023"/>
        <s v="28.04.2023"/>
        <s v="03.05.2023"/>
        <s v="05.05.2023"/>
        <s v="10.05.2023"/>
        <s v="12.05.2023"/>
        <s v="18.05.2023"/>
        <s v="19.05.2023"/>
        <s v="22.05.2023"/>
        <s v="23.05.2023"/>
        <s v="24.05.2023"/>
        <s v="26.05.2023"/>
        <s v="29.05.2023"/>
        <s v="01.06.2023"/>
        <s v="09.06.2023"/>
        <s v="13.06.2023"/>
        <s v="14.06.2023"/>
        <s v="19.06.2023"/>
        <s v="22.06.2023"/>
        <s v="25.06.2023"/>
        <s v="27.06.2023"/>
        <s v="12.07.2023"/>
        <s v="03.07.2023"/>
        <s v="06.07.2023"/>
        <s v="17.07.2023"/>
        <s v="20.07.2023"/>
        <s v="21.07.2023"/>
        <s v="25.07.2023"/>
        <s v="27.07.2023"/>
        <s v="28.07.2023"/>
        <s v="02.08.2023"/>
        <s v="09.08.2023"/>
        <s v="18.08.2023"/>
        <s v="21.08.2023"/>
        <s v="23.08.2023"/>
        <s v="29.08.2023"/>
        <s v="30.08.2023"/>
        <s v="04.09.2023"/>
        <s v="05.09.2023"/>
        <s v="06.09.2023"/>
        <s v="11.09.2023"/>
        <s v="12.09.2023"/>
        <s v="13.09.2023"/>
        <s v="15.09.2023"/>
        <s v="16.09.2023"/>
        <s v="18.09.2023"/>
        <s v="19.09.2023"/>
        <s v="21.09.2023"/>
        <s v="26.09.2023"/>
        <s v="30.09.2023"/>
        <s v="03.10.2023"/>
        <s v="04.10.2023"/>
        <s v="06.10.2023"/>
        <s v="09.10.2023"/>
        <s v="13.10.2023"/>
        <s v="16.10.2023"/>
        <s v="21.10.2023"/>
        <s v="23.10.2023"/>
        <s v="25.10.2023"/>
        <s v="26.10.2023"/>
        <s v="27.10.2023"/>
        <s v="29.10.2023"/>
        <s v="30.10.2023"/>
        <s v="31.10.2023"/>
        <s v="02.11.2023"/>
        <s v="03.11.2023"/>
        <s v="04.11.2023"/>
        <s v="08.11.2023"/>
        <s v="10.11.2023"/>
        <s v="13.11.2023"/>
        <s v="17.11.2023"/>
        <s v="20.11.2023"/>
        <s v="22.11.2023"/>
        <s v="23.11.2023"/>
        <s v="24.11.2023"/>
        <s v="25.11.2023"/>
        <s v="06.12.2023"/>
        <s v="08.12.2023"/>
        <s v="12.12.2023"/>
        <s v="15.12.2023"/>
        <s v="18.12.2023"/>
        <s v="22.12.2023"/>
        <s v="29.12.2023"/>
        <s v="15.01.2024"/>
        <s v="18.01.2024"/>
        <s v="26.01.2024"/>
        <s v="29.01.2024"/>
        <s v="02.02.2024"/>
        <s v="14.02.2024"/>
        <s v="19.02.2024"/>
        <s v="27.02.2024"/>
        <s v="01.03.2024"/>
        <s v="05.03.2024"/>
        <s v="06.03.2024"/>
        <s v="07.03.2024"/>
        <s v="12.03.2024"/>
        <s v="14.03.2024"/>
        <s v="20.03.2024"/>
        <s v="28.03.2024"/>
        <s v="01.04.2024"/>
        <s v="02.04.2024"/>
        <s v="05.04.2024"/>
        <s v="08.04.2024"/>
        <s v="16.04.2024"/>
        <s v="18.04.2024"/>
        <s v="22.04.2024"/>
        <s v="26.04.2024"/>
        <s v="27.04.2024"/>
        <s v="02.05.2024"/>
        <s v="03.05.2024"/>
        <s v="06.05.2024"/>
        <s v="07.05.2024"/>
        <s v="14.05.2024"/>
        <s v="15.05.2024"/>
        <s v="17.05.2024"/>
        <s v="22.05.2024"/>
        <s v="23.05.2024"/>
        <s v="30.05.2024"/>
        <s v="31.05.2024"/>
        <s v="05.06.2024"/>
        <s v="06.06.2024"/>
        <s v="07.06.2024"/>
        <s v="10.06.2024"/>
        <s v="14.06.2024"/>
        <s v="17.06.2024"/>
        <s v="18.06.2024"/>
        <s v="19.06.2024"/>
        <s v="20.06.2024"/>
        <s v="21.06.2024"/>
        <s v="23.06.2024"/>
        <s v="25.06.2024"/>
        <s v="28.06.2024"/>
        <s v="01.07.2024"/>
        <s v="03.07.2024"/>
        <s v="09.07.2024"/>
        <s v="11.07.2024"/>
        <s v="12.07.2024"/>
        <s v="18.07.2024"/>
        <s v="19.07.2024"/>
        <s v="22.07.2024"/>
        <s v="23.07.2024"/>
        <s v="24.07.2024"/>
        <s v="25.07.2024"/>
        <s v="26.07.2024"/>
        <s v="29.07.2024"/>
        <s v="01.08.2024"/>
        <s v="05.08.2024"/>
        <s v="06.08.2024"/>
        <s v="07.08.2024"/>
        <s v="08.08.2024"/>
        <s v="09.08.2024"/>
        <s v="14.08.2024"/>
        <s v="16.08.2024"/>
        <s v="19.08.2024"/>
        <s v="21.08.2024"/>
        <s v="23.08.2024"/>
        <s v="26.08.2024"/>
        <s v="27.08.2024"/>
        <s v="29.08.2024"/>
        <s v="30.08.2024"/>
        <s v="05.09.2024"/>
        <s v="09.09.2024"/>
        <s v="18.09.2024"/>
        <s v="19.09.2024"/>
        <s v="23.09.2024"/>
        <s v="24.09.2024"/>
        <s v="25.09.2024"/>
        <s v="27.09.2024"/>
        <s v="30.09.2024"/>
        <s v="02.10.2024"/>
        <s v="03.10.2024"/>
        <s v="07.10.2024"/>
        <s v="08.10.2024"/>
        <s v="10.10.2024"/>
        <s v="14.10.2024"/>
        <s v="17.10.2024"/>
        <s v="18.10.2024"/>
        <s v="21.10.2024"/>
        <s v="22.10.2024"/>
        <s v="23.10.2024"/>
        <s v="25.10.2024"/>
        <s v="28.10.2024"/>
        <s v="29.10.2024"/>
        <s v="31.10.2024"/>
        <s v="01.11.2024"/>
        <s v="06.11.2024"/>
        <s v="12.11.2024"/>
        <s v="14.11.2024"/>
        <s v="18.11.2024"/>
        <s v="19.11.2024"/>
        <s v="20.11.2024"/>
        <s v="22.11.2024"/>
        <s v="26.11.2024"/>
        <s v="02.12.2024"/>
        <s v="03.12.2024"/>
        <s v="04.12.2024"/>
        <s v="06.12.2024"/>
        <s v="10.12.2024"/>
        <s v="17.12.2024"/>
        <s v="18.12.2024"/>
        <s v="23.12.2024"/>
        <s v="24.12.2024"/>
        <s v="26.12.2024"/>
        <s v="27.12.2024"/>
        <s v="28.12.2024"/>
        <s v="10.01.2025"/>
        <s v="13.01.2025"/>
        <s v="14.01.2025"/>
        <s v="16.01.2025"/>
        <s v="17.01.2025"/>
        <s v="20.01.2025"/>
        <s v="24.01.2025"/>
        <s v="28.01.2025"/>
        <s v="29.01.2025"/>
        <s v="07.02.2025"/>
        <s v="11.02.2025"/>
        <s v="13.02.2025"/>
        <s v="14.02.2025"/>
        <s v="17.02.2025"/>
        <s v="18.02.2025"/>
        <s v="19.02.2025"/>
        <s v="21.02.2025"/>
        <s v="26.02.2025"/>
        <s v="27.02.2025"/>
        <s v="04.03.2025"/>
        <s v="05.03.2025"/>
        <s v="06.03.2025"/>
        <s v="08.03.2025"/>
        <s v="10.03.2025"/>
        <s v="11.03.2025"/>
        <s v="12.03.2025"/>
        <s v="13.03.2025"/>
        <s v="14.03.2025"/>
        <s v="18.03.2025"/>
        <s v="19.03.2025"/>
        <s v="21.03.2025"/>
        <s v="24.03.2025"/>
        <s v="26.03.2025"/>
        <s v="27.03.2025"/>
        <s v="28.03.2025"/>
        <s v="31.03.2025"/>
        <s v="01.04.2025"/>
        <s v="02.04.2025"/>
        <s v="03.04.2025"/>
        <s v="04.04.2025"/>
        <s v="07.04.2025"/>
        <s v="08.04.2025"/>
        <s v="09.04.2025"/>
        <s v="10.04.2025"/>
        <s v="15.04.2025"/>
        <s v="17.04.2025"/>
        <s v="18.04.2025"/>
        <s v="21.04.2025"/>
        <s v="22.04.2025"/>
        <s v="24.04.2025"/>
        <s v="28.04.2025"/>
        <s v="29.04.2025"/>
        <s v="30.04.2025"/>
        <s v="05.05.2025"/>
        <s v="06.05.2025"/>
        <s v="07.05.2025"/>
        <s v="08.05.2025"/>
        <s v="15.05.2025"/>
        <s v="16.05.2025"/>
        <s v="18.05.2025"/>
        <s v="21.05.2025"/>
        <s v="22.05.2025"/>
        <s v="23.05.2025"/>
        <s v="26.05.2025"/>
        <s v="27.05.2025"/>
        <s v="29.05.2025"/>
        <s v="30.05.2025"/>
        <s v="31.05.2025"/>
        <s v="04.06.2025"/>
        <s v="05.06.2025"/>
        <s v="06.06.2025"/>
        <s v="09.06.2025"/>
        <s v="10.06.2025"/>
        <s v="11.06.2025"/>
        <s v="17.06.2025"/>
        <s v="18.06.2025"/>
        <s v="19.06.2025"/>
        <s v="20.06.2025"/>
        <s v="23.06.2025"/>
        <s v="25.06.2025"/>
        <s v="26.06.2025"/>
        <s v="30.06.2025"/>
        <s v="01.07.2025"/>
        <s v="03.07.2025"/>
        <s v="08.07.2025"/>
        <s v="10.07.2025"/>
        <s v="14.07.2025"/>
        <s v="16.07.2025"/>
        <s v="22.07.2025"/>
        <s v="23.07.2025"/>
        <s v="24.07.2025"/>
        <s v="25.07.2025"/>
        <s v="30.07.2025"/>
        <s v="31.07.2025"/>
        <s v="02.08.2025"/>
        <s v="03.08.2025"/>
        <s v="05.08.2025"/>
        <s v="07.08.2025"/>
        <s v="08.08.2025"/>
        <s v="14.08.2025"/>
        <s v="19.08.2025"/>
        <s v="22.08.2025"/>
        <s v="25.08.2025"/>
        <s v="28.08.2025"/>
        <s v="29.08.2025"/>
        <s v="31.08.2025"/>
        <s v="01.09.2025"/>
        <s v="03.09.2025"/>
        <s v="12.09.2025"/>
        <s v="14.09.2025"/>
        <s v="17.09.2025"/>
        <s v="18.09.2025"/>
        <s v="22.09.2025"/>
        <s v="25.09.2025"/>
        <s v="29.09.2025"/>
        <s v="30.09.2025"/>
        <s v="04.07.2024"/>
        <s v="30.07.2024"/>
        <s v="02.10.2025"/>
        <s v="06.10.2025"/>
        <s v="10.10.2025"/>
        <s v="12.10.2025"/>
        <s v="15.10.2025"/>
        <s v="17.10.2025"/>
        <s v="21.10.2025"/>
        <s v="26.10.2025"/>
        <s v="30.10.2025"/>
        <s v="04.11.2025"/>
      </sharedItems>
    </cacheField>
    <cacheField name="ИНН_x000a__x000a_(стр. 130)" numFmtId="0">
      <sharedItems count="71">
        <s v="2615801672"/>
        <s v="5027284260"/>
        <s v="3525460243"/>
        <s v="7610132593"/>
        <s v="9721041810"/>
        <s v="7727181433"/>
        <s v="1650340983"/>
        <s v="7817311045"/>
        <s v="9723070616"/>
        <s v="590200296099"/>
        <s v="5252034208"/>
        <s v="2323031240"/>
        <s v="7743154268"/>
        <s v="7813632792"/>
        <s v="5250067198"/>
        <s v="3327117958"/>
        <s v="5042156009"/>
        <s v="5252048306"/>
        <s v="7718940412"/>
        <s v="5252043178"/>
        <s v="6714051604"/>
        <s v="5720025671"/>
        <s v="3661057594"/>
        <s v="5037060654"/>
        <s v="3460067747"/>
        <s v="761102837735"/>
        <s v="5231000751"/>
        <s v="5042105935"/>
        <s v="5021019315"/>
        <s v="9724108936"/>
        <s v="380414908702"/>
        <s v="7714132189"/>
        <s v="3525480955"/>
        <s v="7100038000"/>
        <s v="5038112418"/>
        <s v="7716951225"/>
        <s v="7611023540"/>
        <s v="7726468539"/>
        <s v="5042155703"/>
        <s v="6230120286"/>
        <s v="5011039432"/>
        <s v="5042142736"/>
        <s v="5751063420"/>
        <s v="7810837417"/>
        <s v="072600194613"/>
        <s v="7112028720"/>
        <s v="9709058790"/>
        <s v="4632227878"/>
        <s v="344504284345"/>
        <s v="5036088400"/>
        <s v="7751231318"/>
        <s v="5252051926"/>
        <s v="9715272626"/>
        <s v="7713495888"/>
        <s v="7326047367"/>
        <s v="7733851742"/>
        <s v="3435143507"/>
        <s v="5050160143"/>
        <s v="5032388089"/>
        <s v="5009114611"/>
        <s v="745220946693"/>
        <s v="7743902347"/>
        <s v="5074056670"/>
        <s v="6230117558"/>
        <s v="3329093396"/>
        <s v="1300009461"/>
        <s v="1639021408"/>
        <s v="3627023411"/>
        <s v="3128104009"/>
        <s v="1624014461"/>
        <s v="520300692133"/>
      </sharedItems>
    </cacheField>
    <cacheField name="КПП_x000a__x000a_(стр. 130)" numFmtId="0">
      <sharedItems count="53">
        <s v="261501001"/>
        <s v="502701001"/>
        <s v="352501001"/>
        <s v="761001001"/>
        <s v="772101001"/>
        <s v="401101001"/>
        <s v="165001001"/>
        <s v="781701001"/>
        <s v=""/>
        <s v="525201001"/>
        <s v="770101001"/>
        <s v="774301001"/>
        <s v="470601001"/>
        <s v="525001001"/>
        <s v="332701001"/>
        <s v="504201001"/>
        <s v="401145001"/>
        <s v="772401001"/>
        <s v="671401001"/>
        <s v="572001001"/>
        <s v="366101001"/>
        <s v="503701001"/>
        <s v="346001001"/>
        <s v="523101001"/>
        <s v="502101001"/>
        <s v="502401001"/>
        <s v="710001001"/>
        <s v="503801001"/>
        <s v="775101001"/>
        <s v="761101001"/>
        <s v="772601001"/>
        <s v="623001001"/>
        <s v="501101001"/>
        <s v="575101001"/>
        <s v="781001001"/>
        <s v="711201001"/>
        <s v="770901001"/>
        <s v="463201001"/>
        <s v="503601001"/>
        <s v="771501001"/>
        <s v="771301001"/>
        <s v="732501001"/>
        <s v="480201001"/>
        <s v="343501001"/>
        <s v="505001001"/>
        <s v="503201001"/>
        <s v="500901001"/>
        <s v="507401001"/>
        <s v="770401001"/>
        <s v="130001001"/>
        <s v="362701001"/>
        <s v="312801001"/>
        <s v="165801001"/>
      </sharedItems>
    </cacheField>
    <cacheField name="Наименование" numFmtId="0">
      <sharedItems count="71">
        <s v="ООО &quot;ПРОФТЕХНОПЛАСТ&quot;"/>
        <s v="ООО &quot;ПОЛИХИМ&quot;"/>
        <s v="ООО &quot;ВЗПТ-35&quot;"/>
        <s v="ООО &quot;ГОРИЗОНТ&quot;"/>
        <s v="ООО &quot;ПЛАЦПЛАСТИК&quot;"/>
        <s v="ООО &quot;РЕЦИКЛЕН&quot;"/>
        <s v="ООО &quot;КАМВТОР ГРУПП&quot;"/>
        <s v="ООО  &quot;ТАРА.РУ&quot;"/>
        <s v="ООО &quot;ПЛАЦМАРКЕТ&quot;"/>
        <s v="ФУКАЛОВ ЮРИЙ ВАСИЛЬЕВИЧ"/>
        <s v="ООО &quot;ГРИНДЕКИНГ&quot;"/>
        <s v="ООО &quot;АМИКО&quot;"/>
        <s v="ООО СТРОЙСПЕЦТОРГ &quot;ТРУДЪ&quot;"/>
        <s v="ООО &quot;КОРПЛАСТ&quot;"/>
        <s v="ООО &quot;РЕНТКАР&quot;"/>
        <s v="ООО &quot;ПКП ВТОРМА&quot;"/>
        <s v="ООО&quot;ПРП&quot;"/>
        <s v="ООО &quot;АВТОТЕХПЛАСТ&quot;"/>
        <s v="ООО &quot;ЭВЕЛАК&quot;"/>
        <s v="ООО &quot;ЛИБРЭТ&quot;"/>
        <s v="ООО &quot;ВЕНЛЕ&quot;"/>
        <s v="ООО &quot;ДЕЛЬТА&quot;"/>
        <s v="ООО &quot;ТРУБЫ ЧЕРНОЗЕМЬЯ&quot;"/>
        <s v="ООО &quot;ДИАЛОГ СТ&quot;"/>
        <s v="ООО &quot;ГОЛЬФСТРИМ&quot;"/>
        <s v="ГАВРИЛЮК АРТЕМ АНДРЕЕВИЧ"/>
        <s v="АО &quot;СОСНОВСКАГРОПРОМТЕХНИКА&quot;, АО &quot;САПТ&quot;"/>
        <s v="ООО &quot;ХАНГРУПП&quot;"/>
        <s v="ООО &quot;ЭКОТЕХПРОМ&quot;"/>
        <s v="ООО &quot;ПЛАЦСТАР&quot;"/>
        <s v="ГУСЕЙНОВ РУСЛАН РАМАЗАНОВИЧ"/>
        <s v="ООО &quot;ГЕКСА-НЕТКАНЫЕ МАТЕРИАЛЫ&quot;"/>
        <s v="ООО &quot;ВЗСМ-35&quot;"/>
        <s v="ООО &quot;МАКСИМА&quot;"/>
        <s v="ООО &quot;РИО-ПОЛИМЕР&quot;"/>
        <s v="ООО &quot;РЕ-ПЛАСТ&quot;"/>
        <s v="ООО &quot;РГК&quot;"/>
        <s v="ООО &quot;ПЛАСТИНДАСТРИАЛ&quot;"/>
        <s v="ООО &quot;ПОЛИСТАР&quot;"/>
        <s v="ООО &quot;КБ&quot;"/>
        <s v="ООО &quot;ЭКОЛАЙН-ВТОРПЛАСТ&quot;"/>
        <s v="ООО &quot;НОВАТЕХ&quot;"/>
        <s v="ООО &quot;ВЕРТИКАЛЬ&quot;"/>
        <s v="ООО &quot;СТС&quot;"/>
        <s v="АЛХАСОВ АЛЕКСАНДР ГАРИЕВИЧ"/>
        <s v="ООО &quot;РЕСУРС-ЭСТЕЙТ&quot;"/>
        <s v="ООО &quot;КУРСОР&quot;"/>
        <s v="ООО &quot;СМАРТКОМ&quot;"/>
        <s v="КОМПАНЕЦ ЛЕОНИД НИКОЛАЕВИЧ"/>
        <s v="ООО &quot;ТИМКРАФТ&quot;"/>
        <s v="ООО &quot;ВТОРПОЛИМЕР&quot;"/>
        <s v="ООО &quot;МЕТАВТОЧАСТЬ&quot;"/>
        <s v="ООО &quot;ПЛАСТЭК&quot;"/>
        <s v="ООО &quot;ЭПТ&quot;"/>
        <s v="ООО &quot;ПЛАСТРЕСУРС&quot;"/>
        <s v="ООО &quot;ПРЕСТОРУСЬ&quot;"/>
        <s v="ООО &quot;СОЮЗ ЭКО СЕРВИС&quot;"/>
        <s v="ООО &quot;ТЕХМОДУЛЬ&quot;"/>
        <s v="ООО ПК &quot;БЕТТА ПЛАСТ&quot;"/>
        <s v="ООО &quot;ПЛАСТЕРМ&quot;"/>
        <s v="ШЕМАРЕВ СЕРГЕЙ ВЯЧЕСЛАВОВИЧ"/>
        <s v="ООО &quot;ЭКСТРУЗИОН&quot;"/>
        <s v="ООО &quot;ПЛАСТКАД ТЕХНОЛОГИЯ&quot;"/>
        <s v="ООО &quot;ХИМПРОМКОНСАЛТИНГ&quot;"/>
        <s v="ООО &quot;АЛЬФАПАЙП&quot;"/>
        <s v="ООО &quot;СЗПК&quot;"/>
        <s v="ООО &quot;АГРОПЛАСТ&quot;"/>
        <s v="ООО &quot;РТК-ПЛАСТ&quot;"/>
        <s v="ООО &quot;СПК &quot;ЗАРЕЧЬЕ&quot;"/>
        <s v="ООО &quot;КАЗТЕХПЛАСТ&quot;"/>
        <s v="ПАТЕЯН АВАГ ВАРАЗДАТОВИЧ"/>
      </sharedItems>
    </cacheField>
    <cacheField name="Стоимость продаж с НДС_x000a__x000a_(стр. 160)" numFmtId="165">
      <sharedItems containsSemiMixedTypes="0" containsString="0" containsNumber="1" minValue="200" maxValue="2200000" count="442">
        <n v="6400"/>
        <n v="128000"/>
        <n v="57600"/>
        <n v="193500"/>
        <n v="360500"/>
        <n v="278000"/>
        <n v="211500"/>
        <n v="363500"/>
        <n v="317250"/>
        <n v="282300"/>
        <n v="128310"/>
        <n v="656000"/>
        <n v="272650"/>
        <n v="379305"/>
        <n v="31400"/>
        <n v="383350"/>
        <n v="424316"/>
        <n v="80000"/>
        <n v="160000"/>
        <n v="324000"/>
        <n v="17388"/>
        <n v="400000"/>
        <n v="350000"/>
        <n v="81000"/>
        <n v="449145"/>
        <n v="206631"/>
        <n v="101007"/>
        <n v="39528"/>
        <n v="73062"/>
        <n v="250938"/>
        <n v="82000"/>
        <n v="229518"/>
        <n v="423864"/>
        <n v="129000"/>
        <n v="128425"/>
        <n v="90825"/>
        <n v="221625"/>
        <n v="87000"/>
        <n v="365220"/>
        <n v="192192"/>
        <n v="249400"/>
        <n v="288000"/>
        <n v="900000"/>
        <n v="1118866"/>
        <n v="970000"/>
        <n v="980000"/>
        <n v="190080"/>
        <n v="17993"/>
        <n v="54000"/>
        <n v="1052160"/>
        <n v="1350000"/>
        <n v="40950"/>
        <n v="50050"/>
        <n v="217500"/>
        <n v="147117"/>
        <n v="1133900"/>
        <n v="724710"/>
        <n v="862410"/>
        <n v="887655"/>
        <n v="500000"/>
        <n v="858245"/>
        <n v="37655"/>
        <n v="500000.3"/>
        <n v="664000"/>
        <n v="830000"/>
        <n v="166000"/>
        <n v="794691"/>
        <n v="124500"/>
        <n v="981060"/>
        <n v="897480"/>
        <n v="887240"/>
        <n v="121500"/>
        <n v="705600"/>
        <n v="837720"/>
        <n v="879375"/>
        <n v="14600"/>
        <n v="1072500"/>
        <n v="216000"/>
        <n v="246848"/>
        <n v="216504"/>
        <n v="140000"/>
        <n v="197540"/>
        <n v="500"/>
        <n v="18000"/>
        <n v="17600"/>
        <n v="733590"/>
        <n v="990000"/>
        <n v="1800000"/>
        <n v="248000"/>
        <n v="920720"/>
        <n v="38000"/>
        <n v="667760"/>
        <n v="791520"/>
        <n v="45000"/>
        <n v="6200"/>
        <n v="513920"/>
        <n v="384120"/>
        <n v="187426"/>
        <n v="1791000"/>
        <n v="659400"/>
        <n v="24000"/>
        <n v="728000"/>
        <n v="204366"/>
        <n v="76300"/>
        <n v="572352"/>
        <n v="1770000"/>
        <n v="252898"/>
        <n v="102000"/>
        <n v="129140"/>
        <n v="222830"/>
        <n v="283328"/>
        <n v="361080"/>
        <n v="200340"/>
        <n v="491150"/>
        <n v="214592"/>
        <n v="504750"/>
        <n v="343152"/>
        <n v="1145357"/>
        <n v="663000"/>
        <n v="401857"/>
        <n v="750000"/>
        <n v="838686"/>
        <n v="74000"/>
        <n v="22200"/>
        <n v="775500"/>
        <n v="728340"/>
        <n v="779270"/>
        <n v="370000"/>
        <n v="950000"/>
        <n v="375000"/>
        <n v="866744"/>
        <n v="123370"/>
        <n v="1900000"/>
        <n v="563573"/>
        <n v="816973"/>
        <n v="743920"/>
        <n v="734280"/>
        <n v="490000"/>
        <n v="768306"/>
        <n v="408100"/>
        <n v="486225"/>
        <n v="744890"/>
        <n v="682017"/>
        <n v="850000"/>
        <n v="178871"/>
        <n v="233399"/>
        <n v="49000"/>
        <n v="905611"/>
        <n v="531010"/>
        <n v="183000"/>
        <n v="836000"/>
        <n v="374220"/>
        <n v="785708"/>
        <n v="1059580"/>
        <n v="414520"/>
        <n v="453600"/>
        <n v="475945"/>
        <n v="814080"/>
        <n v="100000"/>
        <n v="560696"/>
        <n v="1960000"/>
        <n v="879413"/>
        <n v="960000"/>
        <n v="662080"/>
        <n v="2000000"/>
        <n v="737300"/>
        <n v="98000"/>
        <n v="354900"/>
        <n v="731460"/>
        <n v="40000"/>
        <n v="176760"/>
        <n v="25000"/>
        <n v="815000"/>
        <n v="826980.5"/>
        <n v="649100"/>
        <n v="170900"/>
        <n v="704634.5"/>
        <n v="103385"/>
        <n v="1000000"/>
        <n v="554248"/>
        <n v="756804"/>
        <n v="166581"/>
        <n v="110000"/>
        <n v="436198"/>
        <n v="808137"/>
        <n v="360555"/>
        <n v="1100000"/>
        <n v="178561.5"/>
        <n v="803601"/>
        <n v="234575"/>
        <n v="2200000"/>
        <n v="800000"/>
        <n v="1560000"/>
        <n v="1634692"/>
        <n v="117000"/>
        <n v="108030"/>
        <n v="780000"/>
        <n v="1944030"/>
        <n v="681018"/>
        <n v="546000"/>
        <n v="51000"/>
        <n v="826488"/>
        <n v="420810"/>
        <n v="561520"/>
        <n v="593814"/>
        <n v="89344"/>
        <n v="320000"/>
        <n v="419840"/>
        <n v="680000"/>
        <n v="770378"/>
        <n v="1139190"/>
        <n v="4000"/>
        <n v="1170000"/>
        <n v="383907"/>
        <n v="712452"/>
        <n v="703560"/>
        <n v="776674"/>
        <n v="843258"/>
        <n v="936000"/>
        <n v="932100"/>
        <n v="300000"/>
        <n v="783588"/>
        <n v="992240"/>
        <n v="550000"/>
        <n v="343440"/>
        <n v="250000"/>
        <n v="842400"/>
        <n v="296412"/>
        <n v="899040"/>
        <n v="809440"/>
        <n v="1017000"/>
        <n v="853160"/>
        <n v="24800"/>
        <n v="35228"/>
        <n v="353440"/>
        <n v="1498970"/>
        <n v="417134"/>
        <n v="848946"/>
        <n v="405434"/>
        <n v="402866"/>
        <n v="820000"/>
        <n v="1114745"/>
        <n v="410000"/>
        <n v="403112"/>
        <n v="1109208"/>
        <n v="832546"/>
        <n v="255970"/>
        <n v="820410"/>
        <n v="409754"/>
        <n v="1084800"/>
        <n v="416806"/>
        <n v="566948"/>
        <n v="132102"/>
        <n v="1124802"/>
        <n v="448622"/>
        <n v="286224"/>
        <n v="520000"/>
        <n v="797040"/>
        <n v="361702"/>
        <n v="480848"/>
        <n v="200000"/>
        <n v="1358712"/>
        <n v="828774"/>
        <n v="2162142"/>
        <n v="822120"/>
        <n v="805650"/>
        <n v="14350"/>
        <n v="440000"/>
        <n v="833520"/>
        <n v="1130000"/>
        <n v="28000"/>
        <n v="1126384"/>
        <n v="1158250"/>
        <n v="510000"/>
        <n v="839079"/>
        <n v="1123898"/>
        <n v="700000"/>
        <n v="403680"/>
        <n v="170440.5"/>
        <n v="30223"/>
        <n v="480000"/>
        <n v="669777"/>
        <n v="451200"/>
        <n v="476320"/>
        <n v="842268"/>
        <n v="1132825"/>
        <n v="1099490"/>
        <n v="780320"/>
        <n v="1134859"/>
        <n v="39500"/>
        <n v="395000"/>
        <n v="1102970"/>
        <n v="980320"/>
        <n v="574000"/>
        <n v="1099010"/>
        <n v="88303"/>
        <n v="1107480"/>
        <n v="929514"/>
        <n v="1152613"/>
        <n v="393280"/>
        <n v="471732"/>
        <n v="1643950"/>
        <n v="988130"/>
        <n v="924537"/>
        <n v="1280000"/>
        <n v="1010000"/>
        <n v="2020000"/>
        <n v="76000"/>
        <n v="852774"/>
        <n v="114000"/>
        <n v="131936"/>
        <n v="707226"/>
        <n v="444000"/>
        <n v="836610"/>
        <n v="917156"/>
        <n v="406744"/>
        <n v="898804"/>
        <n v="888000"/>
        <n v="387020"/>
        <n v="56402"/>
        <n v="100900"/>
        <n v="960594"/>
        <n v="27824"/>
        <n v="257500"/>
        <n v="515000"/>
        <n v="21000"/>
        <n v="742220"/>
        <n v="263390"/>
        <n v="885780"/>
        <n v="849298"/>
        <n v="18800"/>
        <n v="80325"/>
        <n v="150000"/>
        <n v="910602"/>
        <n v="269614"/>
        <n v="460000"/>
        <n v="1282614"/>
        <n v="1656000"/>
        <n v="529000"/>
        <n v="494614"/>
        <n v="801290"/>
        <n v="914614"/>
        <n v="1840000"/>
        <n v="1035112"/>
        <n v="5250"/>
        <n v="940000"/>
        <n v="5200"/>
        <n v="1889000"/>
        <n v="315000"/>
        <n v="1001308"/>
        <n v="1050000"/>
        <n v="1920000"/>
        <n v="1748000"/>
        <n v="14700"/>
        <n v="119824"/>
        <n v="434000"/>
        <n v="420000"/>
        <n v="14000"/>
        <n v="252000"/>
        <n v="1045360"/>
        <n v="810000"/>
        <n v="210000"/>
        <n v="1824912"/>
        <n v="764346"/>
        <n v="1109162"/>
        <n v="483000"/>
        <n v="930000"/>
        <n v="1980000"/>
        <n v="525000"/>
        <n v="701280"/>
        <n v="763224"/>
        <n v="1864020"/>
        <n v="1820000"/>
        <n v="697000"/>
        <n v="754110"/>
        <n v="398776"/>
        <n v="465000"/>
        <n v="7152"/>
        <n v="306000"/>
        <n v="887320"/>
        <n v="352000"/>
        <n v="408000"/>
        <n v="1923838"/>
        <n v="779280"/>
        <n v="150460"/>
        <n v="564000"/>
        <n v="866789"/>
        <n v="1873890"/>
        <n v="762960"/>
        <n v="137200"/>
        <n v="117915"/>
        <n v="232750"/>
        <n v="342076"/>
        <n v="468420"/>
        <n v="29656"/>
        <n v="238000"/>
        <n v="273636"/>
        <n v="37128"/>
        <n v="394310"/>
        <n v="131352"/>
        <n v="84680"/>
        <n v="479601"/>
        <n v="633820"/>
        <n v="880000"/>
        <n v="651440"/>
        <n v="1440000"/>
        <n v="352716"/>
        <n v="85000"/>
        <n v="671840"/>
        <n v="243144"/>
        <n v="16000"/>
        <n v="223312"/>
        <n v="1780000"/>
        <n v="353600"/>
        <n v="1320000"/>
        <n v="105196"/>
        <n v="136000"/>
        <n v="504000"/>
        <n v="915750"/>
        <n v="1620000"/>
        <n v="295460"/>
        <n v="107030"/>
        <n v="1600000"/>
        <n v="36700"/>
        <n v="398820"/>
        <n v="862647.5"/>
        <n v="1700000"/>
        <n v="322660"/>
        <n v="33210"/>
        <n v="630000"/>
        <n v="902000"/>
        <n v="882000"/>
        <n v="73722"/>
        <n v="200"/>
        <n v="1279200"/>
        <n v="871250"/>
        <n v="711120"/>
        <n v="1640000"/>
        <n v="68000"/>
        <n v="1472064"/>
        <n v="346256"/>
        <n v="1558000"/>
      </sharedItems>
    </cacheField>
    <cacheField name="Стоимость продаж облагаемых налогом (в руб.) без НДС_x000a_(стр. 170)" numFmtId="165">
      <sharedItems containsSemiMixedTypes="0" containsString="0" containsNumber="1" minValue="0" maxValue="1833333.33" count="351">
        <n v="5333.33"/>
        <n v="0"/>
        <n v="106666.67"/>
        <n v="48000"/>
        <n v="161250"/>
        <n v="300416.65999999997"/>
        <n v="176250"/>
        <n v="302916.67"/>
        <n v="231666.67"/>
        <n v="264375"/>
        <n v="235250"/>
        <n v="106925"/>
        <n v="227208.33"/>
        <n v="316087.5"/>
        <n v="319458.33"/>
        <n v="353596.67"/>
        <n v="26166.66"/>
        <n v="270000"/>
        <n v="14490"/>
        <n v="333333.33"/>
        <n v="374287.5"/>
        <n v="172192.5"/>
        <n v="84172.5"/>
        <n v="32940"/>
        <n v="209115"/>
        <n v="191265"/>
        <n v="353220"/>
        <n v="107500"/>
        <n v="107020.83"/>
        <n v="75687.5"/>
        <n v="184687.5"/>
        <n v="72500"/>
        <n v="304350"/>
        <n v="160160"/>
        <n v="207833.33"/>
        <n v="240000"/>
        <n v="750000"/>
        <n v="932388.33"/>
        <n v="808333.33"/>
        <n v="816666.67"/>
        <n v="158400"/>
        <n v="876800"/>
        <n v="1125000"/>
        <n v="181250"/>
        <n v="122597.5"/>
        <n v="944916.67"/>
        <n v="603925"/>
        <n v="718675"/>
        <n v="739712.5"/>
        <n v="715204.17"/>
        <n v="416666.92"/>
        <n v="691666.67"/>
        <n v="138333.32999999999"/>
        <n v="662242.5"/>
        <n v="103750"/>
        <n v="817550"/>
        <n v="747900"/>
        <n v="739366.67"/>
        <n v="101250"/>
        <n v="588000"/>
        <n v="698100"/>
        <n v="732812.5"/>
        <n v="12166.67"/>
        <n v="893750"/>
        <n v="180000"/>
        <n v="205706.67"/>
        <n v="180420"/>
        <n v="116666.67"/>
        <n v="164616.67000000001"/>
        <n v="15000"/>
        <n v="14666.67"/>
        <n v="611325"/>
        <n v="825000"/>
        <n v="1500000"/>
        <n v="767266.67"/>
        <n v="556466.67000000004"/>
        <n v="659600"/>
        <n v="37500"/>
        <n v="428266.67"/>
        <n v="320100"/>
        <n v="156188.32999999999"/>
        <n v="1492500"/>
        <n v="549500"/>
        <n v="20000"/>
        <n v="606666.67000000004"/>
        <n v="170305"/>
        <n v="63583.33"/>
        <n v="476960"/>
        <n v="1475000"/>
        <n v="210748.33"/>
        <n v="85000"/>
        <n v="107616.67"/>
        <n v="185691.67"/>
        <n v="236106.67"/>
        <n v="300900"/>
        <n v="166950"/>
        <n v="409291.66"/>
        <n v="178826.67"/>
        <n v="420625"/>
        <n v="285960"/>
        <n v="954464.17"/>
        <n v="552500"/>
        <n v="334880.83"/>
        <n v="625000"/>
        <n v="698905"/>
        <n v="61666.67"/>
        <n v="18500"/>
        <n v="646250"/>
        <n v="606950"/>
        <n v="649391.66"/>
        <n v="308333.33"/>
        <n v="791666.67"/>
        <n v="312500"/>
        <n v="722286.67"/>
        <n v="102808.33"/>
        <n v="1583333.33"/>
        <n v="469644.17"/>
        <n v="680810.83"/>
        <n v="619933.32999999996"/>
        <n v="611900"/>
        <n v="5166.67"/>
        <n v="408333.33"/>
        <n v="640255"/>
        <n v="340083.33"/>
        <n v="405187.5"/>
        <n v="620741.67000000004"/>
        <n v="568347.5"/>
        <n v="708333.33"/>
        <n v="149059.17000000001"/>
        <n v="194499.17"/>
        <n v="40833.33"/>
        <n v="754675.83"/>
        <n v="442508.34"/>
        <n v="152500"/>
        <n v="696666.67"/>
        <n v="311850"/>
        <n v="654756.67000000004"/>
        <n v="882983.33"/>
        <n v="345433.33"/>
        <n v="378000"/>
        <n v="678400"/>
        <n v="83333.33"/>
        <n v="467246.67"/>
        <n v="1633333.33"/>
        <n v="732844.17"/>
        <n v="396620.84"/>
        <n v="551733.34"/>
        <n v="1666666.67"/>
        <n v="614416.67000000004"/>
        <n v="295750"/>
        <n v="81666.67"/>
        <n v="609550"/>
        <n v="147300"/>
        <n v="20833.330000000002"/>
        <n v="689150.42"/>
        <n v="540916.67000000004"/>
        <n v="587195.42000000004"/>
        <n v="833333.33"/>
        <n v="461873.33"/>
        <n v="630670"/>
        <n v="363498.34"/>
        <n v="673447.5"/>
        <n v="300462.5"/>
        <n v="91666.67"/>
        <n v="916666.67"/>
        <n v="669667.5"/>
        <n v="195479.17"/>
        <n v="1833333.33"/>
        <n v="666666.67000000004"/>
        <n v="1362243.33"/>
        <n v="90025"/>
        <n v="1620025"/>
        <n v="567515"/>
        <n v="688740"/>
        <n v="350675"/>
        <n v="467933.33"/>
        <n v="42500"/>
        <n v="494845"/>
        <n v="349866.67"/>
        <n v="641981.67000000004"/>
        <n v="593710"/>
        <n v="586300"/>
        <n v="3333.33"/>
        <n v="647228.32999999996"/>
        <n v="702715"/>
        <n v="776750"/>
        <n v="652990"/>
        <n v="826866.67"/>
        <n v="286200"/>
        <n v="702000"/>
        <n v="749200"/>
        <n v="674533.33"/>
        <n v="847500"/>
        <n v="710966.67"/>
        <n v="29356.67"/>
        <n v="347611.67"/>
        <n v="707455"/>
        <n v="928954.17"/>
        <n v="335926.67"/>
        <n v="924340"/>
        <n v="693788.33"/>
        <n v="683675"/>
        <n v="904000"/>
        <n v="347338.33"/>
        <n v="110085"/>
        <n v="937335"/>
        <n v="373851.67"/>
        <n v="664200"/>
        <n v="301418.33"/>
        <n v="400706.67"/>
        <n v="1132260"/>
        <n v="690645"/>
        <n v="1801785"/>
        <n v="685100"/>
        <n v="671375"/>
        <n v="694600"/>
        <n v="941666.67"/>
        <n v="23333.33"/>
        <n v="938653.33"/>
        <n v="965208.33"/>
        <n v="699232.5"/>
        <n v="936581.67"/>
        <n v="336400"/>
        <n v="142033.75"/>
        <n v="376000"/>
        <n v="701890"/>
        <n v="944020.83"/>
        <n v="916241.67"/>
        <n v="650266.66"/>
        <n v="945715.83"/>
        <n v="32916.67"/>
        <n v="919141.67"/>
        <n v="816933.33"/>
        <n v="915841.67"/>
        <n v="922900"/>
        <n v="774595"/>
        <n v="960510.83"/>
        <n v="393110"/>
        <n v="1369958.33"/>
        <n v="823441.67"/>
        <n v="770447.5"/>
        <n v="1683333.33"/>
        <n v="710645"/>
        <n v="63333.33"/>
        <n v="109946.67"/>
        <n v="589355"/>
        <n v="697175"/>
        <n v="764296.67"/>
        <n v="338953.33"/>
        <n v="400000"/>
        <n v="749003.33"/>
        <n v="322516.67"/>
        <n v="47001.67"/>
        <n v="84083.33"/>
        <n v="800495"/>
        <n v="429166.66"/>
        <n v="17500"/>
        <n v="618516.67000000004"/>
        <n v="707748.33"/>
        <n v="15666.67"/>
        <n v="66937.5"/>
        <n v="758835"/>
        <n v="383333.33"/>
        <n v="1380000"/>
        <n v="440833.34"/>
        <n v="667741.67000000004"/>
        <n v="1533333.33"/>
        <n v="862593.33"/>
        <n v="783333.33"/>
        <n v="1574166.67"/>
        <n v="4375"/>
        <n v="834423.33"/>
        <n v="262500"/>
        <n v="875000"/>
        <n v="1600000"/>
        <n v="1456666.67"/>
        <n v="12250"/>
        <n v="350000"/>
        <n v="11666.67"/>
        <n v="871133.33"/>
        <n v="175000"/>
        <n v="1520760"/>
        <n v="636955"/>
        <n v="924301.66"/>
        <n v="1650000"/>
        <n v="437500"/>
        <n v="584400"/>
        <n v="636020"/>
        <n v="1553350"/>
        <n v="1516666.67"/>
        <n v="628425"/>
        <n v="5960"/>
        <n v="387500"/>
        <n v="255000"/>
        <n v="739433.33"/>
        <n v="293333.33"/>
        <n v="1603198.33"/>
        <n v="649400"/>
        <n v="722324.17"/>
        <n v="1561575"/>
        <n v="635800"/>
        <n v="114333.33"/>
        <n v="98262.5"/>
        <n v="125383.33"/>
        <n v="285063.33"/>
        <n v="390350"/>
        <n v="228030"/>
        <n v="30940"/>
        <n v="328591.67"/>
        <n v="109460"/>
        <n v="70566.67"/>
        <n v="399667.5"/>
        <n v="528183.32999999996"/>
        <n v="733333.33"/>
        <n v="542866.67000000004"/>
        <n v="1200000"/>
        <n v="293930"/>
        <n v="70833.33"/>
        <n v="559866.67000000004"/>
        <n v="202620"/>
        <n v="13333.33"/>
        <n v="186093.33"/>
        <n v="1483333.33"/>
        <n v="294666.67"/>
        <n v="1100000"/>
        <n v="87663.33"/>
        <n v="113333.33"/>
        <n v="420000"/>
        <n v="763125"/>
        <n v="1350000"/>
        <n v="246216.67"/>
        <n v="89191.67"/>
        <n v="1333333.33"/>
        <n v="30583.33"/>
        <n v="332350"/>
        <n v="718872.92"/>
        <n v="1416666.67"/>
        <n v="268883.33"/>
        <n v="27675"/>
        <n v="525000"/>
        <n v="751666.67"/>
        <n v="735000"/>
        <n v="340000"/>
        <n v="1066000"/>
        <n v="726041.67"/>
        <n v="592600"/>
        <n v="1366666.67"/>
        <n v="56666.67"/>
        <n v="1226720"/>
        <n v="288546.67"/>
        <n v="1298333.33"/>
      </sharedItems>
    </cacheField>
    <cacheField name="Сумма НДС_x000a_20%_x000a_(стр. 200)" numFmtId="165">
      <sharedItems containsSemiMixedTypes="0" containsString="0" containsNumber="1" minValue="0" maxValue="366666.67" count="444">
        <n v="1066.67"/>
        <n v="21333.33"/>
        <n v="9600"/>
        <n v="32250"/>
        <n v="60083.34"/>
        <n v="46333.33"/>
        <n v="35250"/>
        <n v="60583.33"/>
        <n v="52875"/>
        <n v="47050"/>
        <n v="21385"/>
        <n v="109333.33"/>
        <n v="45441.67"/>
        <n v="63217.5"/>
        <n v="5233.34"/>
        <n v="63891.67"/>
        <n v="70719.33"/>
        <n v="13333.33"/>
        <n v="26666.67"/>
        <n v="54000"/>
        <n v="2898"/>
        <n v="66666.67"/>
        <n v="58333.33"/>
        <n v="13500"/>
        <n v="74857.5"/>
        <n v="34438.5"/>
        <n v="16834.5"/>
        <n v="6588"/>
        <n v="12177"/>
        <n v="41823"/>
        <n v="13666.67"/>
        <n v="38253"/>
        <n v="70644"/>
        <n v="21500"/>
        <n v="21404.17"/>
        <n v="15137.5"/>
        <n v="36937.5"/>
        <n v="14500"/>
        <n v="60870"/>
        <n v="32032"/>
        <n v="41566.67"/>
        <n v="48000"/>
        <n v="150000"/>
        <n v="186477.67"/>
        <n v="161666.67000000001"/>
        <n v="163333.32999999999"/>
        <n v="31680"/>
        <n v="2998.83"/>
        <n v="9000"/>
        <n v="175360"/>
        <n v="225000"/>
        <n v="6825"/>
        <n v="8341.67"/>
        <n v="36250"/>
        <n v="24519.5"/>
        <n v="188983.33"/>
        <n v="120785"/>
        <n v="143735"/>
        <n v="147942.5"/>
        <n v="83333.33"/>
        <n v="143040.82999999999"/>
        <n v="6275.83"/>
        <n v="83333.38"/>
        <n v="110666.67"/>
        <n v="138333.32999999999"/>
        <n v="27666.67"/>
        <n v="132448.5"/>
        <n v="20750"/>
        <n v="163510"/>
        <n v="149580"/>
        <n v="147873.32999999999"/>
        <n v="20250"/>
        <n v="117600"/>
        <n v="139620"/>
        <n v="146562.5"/>
        <n v="2433.33"/>
        <n v="178750"/>
        <n v="36000"/>
        <n v="41141.33"/>
        <n v="36084"/>
        <n v="23333.33"/>
        <n v="32923.33"/>
        <n v="83.33"/>
        <n v="3000"/>
        <n v="2933.33"/>
        <n v="122265"/>
        <n v="165000"/>
        <n v="300000"/>
        <n v="41333.33"/>
        <n v="153453.32999999999"/>
        <n v="6333.33"/>
        <n v="111293.33"/>
        <n v="131920"/>
        <n v="7500"/>
        <n v="1033.33"/>
        <n v="85653.33"/>
        <n v="64020"/>
        <n v="31237.67"/>
        <n v="298500"/>
        <n v="109900"/>
        <n v="4000"/>
        <n v="121333.33"/>
        <n v="34061"/>
        <n v="12716.67"/>
        <n v="95392"/>
        <n v="295000"/>
        <n v="42149.67"/>
        <n v="17000"/>
        <n v="21523.33"/>
        <n v="37138.33"/>
        <n v="47221.33"/>
        <n v="60180"/>
        <n v="33390"/>
        <n v="81858.34"/>
        <n v="35765.33"/>
        <n v="84125"/>
        <n v="57192"/>
        <n v="190892.83"/>
        <n v="110500"/>
        <n v="66976.17"/>
        <n v="125000"/>
        <n v="139781"/>
        <n v="12333.33"/>
        <n v="3700"/>
        <n v="129250"/>
        <n v="121390"/>
        <n v="129878.34"/>
        <n v="61666.67"/>
        <n v="158333.32999999999"/>
        <n v="62500"/>
        <n v="144457.32999999999"/>
        <n v="20561.669999999998"/>
        <n v="316666.67"/>
        <n v="93928.83"/>
        <n v="136162.17000000001"/>
        <n v="123986.67"/>
        <n v="122380"/>
        <n v="0"/>
        <n v="81666.67"/>
        <n v="128051"/>
        <n v="68016.67"/>
        <n v="81037.5"/>
        <n v="124148.33"/>
        <n v="113669.5"/>
        <n v="141666.67000000001"/>
        <n v="29811.83"/>
        <n v="38899.83"/>
        <n v="8166.67"/>
        <n v="150935.17000000001"/>
        <n v="88501.66"/>
        <n v="30500"/>
        <n v="139333.32999999999"/>
        <n v="62370"/>
        <n v="130951.33"/>
        <n v="176596.67"/>
        <n v="69086.67"/>
        <n v="75600"/>
        <n v="79324.160000000003"/>
        <n v="135680"/>
        <n v="16666.669999999998"/>
        <n v="93449.33"/>
        <n v="326666.67"/>
        <n v="146568.82999999999"/>
        <n v="160000"/>
        <n v="110346.66"/>
        <n v="333333.33"/>
        <n v="122883.33"/>
        <n v="16333.33"/>
        <n v="59150"/>
        <n v="121910"/>
        <n v="6666.67"/>
        <n v="29460"/>
        <n v="4166.67"/>
        <n v="135833.32999999999"/>
        <n v="137830.07999999999"/>
        <n v="108183.33"/>
        <n v="28483.33"/>
        <n v="117439.08"/>
        <n v="17230.830000000002"/>
        <n v="166666.67000000001"/>
        <n v="92374.67"/>
        <n v="126134"/>
        <n v="27763.5"/>
        <n v="18333.330000000002"/>
        <n v="72699.66"/>
        <n v="134689.5"/>
        <n v="60092.5"/>
        <n v="183333.33"/>
        <n v="29760.25"/>
        <n v="133933.5"/>
        <n v="39095.83"/>
        <n v="366666.67"/>
        <n v="133333.32999999999"/>
        <n v="260000"/>
        <n v="272448.67"/>
        <n v="19500"/>
        <n v="18005"/>
        <n v="130000"/>
        <n v="324005"/>
        <n v="113503"/>
        <n v="91000"/>
        <n v="8500"/>
        <n v="137748"/>
        <n v="70135"/>
        <n v="93586.67"/>
        <n v="98969"/>
        <n v="14890.67"/>
        <n v="53333.33"/>
        <n v="69973.33"/>
        <n v="113333.33"/>
        <n v="128396.33"/>
        <n v="189865"/>
        <n v="666.67"/>
        <n v="195000"/>
        <n v="63984.5"/>
        <n v="118742"/>
        <n v="117260"/>
        <n v="129445.67"/>
        <n v="140543"/>
        <n v="156000"/>
        <n v="155350"/>
        <n v="50000"/>
        <n v="130598"/>
        <n v="165373.32999999999"/>
        <n v="91666.67"/>
        <n v="57240"/>
        <n v="41666.67"/>
        <n v="140400"/>
        <n v="49402"/>
        <n v="149840"/>
        <n v="134906.67000000001"/>
        <n v="169500"/>
        <n v="142193.32999999999"/>
        <n v="4133.33"/>
        <n v="5871.33"/>
        <n v="58906.67"/>
        <n v="249828.33"/>
        <n v="69522.33"/>
        <n v="141491"/>
        <n v="67572.33"/>
        <n v="67144.33"/>
        <n v="136666.67000000001"/>
        <n v="185790.83"/>
        <n v="68333.33"/>
        <n v="67185.33"/>
        <n v="184868"/>
        <n v="138757.67000000001"/>
        <n v="42661.67"/>
        <n v="136735"/>
        <n v="68292.33"/>
        <n v="180800"/>
        <n v="69467.67"/>
        <n v="94491.33"/>
        <n v="22017"/>
        <n v="187467"/>
        <n v="74770.33"/>
        <n v="47704"/>
        <n v="86666.67"/>
        <n v="132840"/>
        <n v="60283.67"/>
        <n v="80141.33"/>
        <n v="33333.33"/>
        <n v="226452"/>
        <n v="138129"/>
        <n v="360357"/>
        <n v="137020"/>
        <n v="134275"/>
        <n v="2391.67"/>
        <n v="73333.33"/>
        <n v="138920"/>
        <n v="188333.33"/>
        <n v="4666.67"/>
        <n v="187730.67"/>
        <n v="193041.67"/>
        <n v="85000"/>
        <n v="139846.5"/>
        <n v="187316.33"/>
        <n v="116666.67"/>
        <n v="67280"/>
        <n v="28406.75"/>
        <n v="5037.17"/>
        <n v="80000"/>
        <n v="111629.5"/>
        <n v="75200"/>
        <n v="79386.67"/>
        <n v="140378"/>
        <n v="188804.17"/>
        <n v="183248.33"/>
        <n v="130053.34"/>
        <n v="189143.17"/>
        <n v="6583.33"/>
        <n v="65833.33"/>
        <n v="183828.33"/>
        <n v="163386.67000000001"/>
        <n v="95666.67"/>
        <n v="183168.33"/>
        <n v="14717.17"/>
        <n v="184580"/>
        <n v="154919"/>
        <n v="192102.17"/>
        <n v="65546.67"/>
        <n v="78622"/>
        <n v="273991.67"/>
        <n v="164688.32999999999"/>
        <n v="154089.5"/>
        <n v="213333.33"/>
        <n v="168333.33"/>
        <n v="336666.67"/>
        <n v="12666.67"/>
        <n v="142129"/>
        <n v="19000"/>
        <n v="21989.33"/>
        <n v="117871"/>
        <n v="74000"/>
        <n v="139435"/>
        <n v="152859.32999999999"/>
        <n v="67790.67"/>
        <n v="149800.67000000001"/>
        <n v="148000"/>
        <n v="64503.33"/>
        <n v="9400.33"/>
        <n v="16816.669999999998"/>
        <n v="160099"/>
        <n v="4637.33"/>
        <n v="42916.67"/>
        <n v="85833.34"/>
        <n v="3500"/>
        <n v="123703.33"/>
        <n v="43898.33"/>
        <n v="147630"/>
        <n v="141549.67000000001"/>
        <n v="3133.33"/>
        <n v="13387.5"/>
        <n v="25000"/>
        <n v="151767"/>
        <n v="44935.67"/>
        <n v="85833.33"/>
        <n v="76666.67"/>
        <n v="213769"/>
        <n v="276000"/>
        <n v="88166.66"/>
        <n v="82435.67"/>
        <n v="133548.32999999999"/>
        <n v="152435.67000000001"/>
        <n v="306666.67"/>
        <n v="172518.67"/>
        <n v="875"/>
        <n v="156666.67000000001"/>
        <n v="866.67"/>
        <n v="314833.33"/>
        <n v="52500"/>
        <n v="166884.67000000001"/>
        <n v="175000"/>
        <n v="320000"/>
        <n v="291333.33"/>
        <n v="2450"/>
        <n v="19970.669999999998"/>
        <n v="72333.33"/>
        <n v="70000"/>
        <n v="2333.33"/>
        <n v="42000"/>
        <n v="174226.67"/>
        <n v="135000"/>
        <n v="35000"/>
        <n v="304152"/>
        <n v="127391"/>
        <n v="184860.34"/>
        <n v="80500"/>
        <n v="155000"/>
        <n v="330000"/>
        <n v="87500"/>
        <n v="116880"/>
        <n v="127204"/>
        <n v="310670"/>
        <n v="303333.33"/>
        <n v="116166.67"/>
        <n v="125685"/>
        <n v="66462.67"/>
        <n v="77500"/>
        <n v="1192"/>
        <n v="51000"/>
        <n v="147886.67000000001"/>
        <n v="58666.67"/>
        <n v="68000"/>
        <n v="320639.67"/>
        <n v="129880"/>
        <n v="25076.67"/>
        <n v="94000"/>
        <n v="144464.82999999999"/>
        <n v="312315"/>
        <n v="127160"/>
        <n v="22866.67"/>
        <n v="19652.5"/>
        <n v="38791.67"/>
        <n v="57012.67"/>
        <n v="78070"/>
        <n v="4942.67"/>
        <n v="39666.67"/>
        <n v="45606"/>
        <n v="6188"/>
        <n v="65718.33"/>
        <n v="21892"/>
        <n v="14113.33"/>
        <n v="79933.5"/>
        <n v="105636.67"/>
        <n v="146666.67000000001"/>
        <n v="108573.33"/>
        <n v="240000"/>
        <n v="58786"/>
        <n v="14166.67"/>
        <n v="111973.33"/>
        <n v="40524"/>
        <n v="2666.67"/>
        <n v="37218.67"/>
        <n v="296666.67"/>
        <n v="58933.33"/>
        <n v="220000"/>
        <n v="17532.669999999998"/>
        <n v="22666.67"/>
        <n v="84000"/>
        <n v="152625"/>
        <n v="270000"/>
        <n v="49243.33"/>
        <n v="17838.330000000002"/>
        <n v="266666.67"/>
        <n v="6116.67"/>
        <n v="66470"/>
        <n v="143774.57999999999"/>
        <n v="283333.33"/>
        <n v="53776.67"/>
        <n v="5535"/>
        <n v="105000"/>
        <n v="150333.32999999999"/>
        <n v="147000"/>
        <n v="12287"/>
        <n v="33.33"/>
        <n v="213200"/>
        <n v="145208.32999999999"/>
        <n v="118520"/>
        <n v="273333.33"/>
        <n v="11333.33"/>
        <n v="245344"/>
        <n v="57709.33"/>
        <n v="259666.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42.554402777801" createdVersion="7" refreshedVersion="7" minRefreshableVersion="3" recordCount="1200" xr:uid="{00000000-000A-0000-FFFF-FFFF01000000}">
  <cacheSource type="worksheet">
    <worksheetSource ref="A5:L1205" sheet="Книга покупок"/>
  </cacheSource>
  <cacheFields count="12">
    <cacheField name="№_x000a__x000a_(стр. 005)" numFmtId="0">
      <sharedItems containsSemiMixedTypes="0" containsNonDate="0" containsString="0" containsNumber="1" containsInteger="1" minValue="1" maxValue="1200"/>
    </cacheField>
    <cacheField name="налоговый период" numFmtId="0">
      <sharedItems count="19">
        <s v="2 кв. 2021"/>
        <s v="3 кв. 2021"/>
        <s v="4 кв. 2021"/>
        <s v="1 кв. 2022"/>
        <s v="2 кв. 2022"/>
        <s v="3 кв. 2022"/>
        <s v="4 кв. 2022"/>
        <s v="1 кв. 2023"/>
        <s v="2 кв. 2023"/>
        <s v="3 кв. 2023"/>
        <s v="4 кв. 2023"/>
        <s v="1 кв. 2024"/>
        <s v="2 кв. 2024"/>
        <s v="3 кв. 2024"/>
        <s v="4 кв. 2024"/>
        <s v="1 кв. 2025"/>
        <s v="2 кв. 2025"/>
        <s v="3 кв. 2025"/>
        <s v="4 кв. 2025"/>
      </sharedItems>
    </cacheField>
    <cacheField name="Код вида операции_x000a__x000a_(стр. 010)" numFmtId="0">
      <sharedItems count="4">
        <s v="01"/>
        <s v="22"/>
        <s v="02"/>
        <s v="18"/>
      </sharedItems>
    </cacheField>
    <cacheField name="№_x000a__x000a_(стр. 020)" numFmtId="0">
      <sharedItems containsNonDate="0"/>
    </cacheField>
    <cacheField name="Дата_x000a__x000a_(стр. 030)" numFmtId="0">
      <sharedItems containsNonDate="0"/>
    </cacheField>
    <cacheField name="Дата принятия на учет_x000a__x000a_(стр. 120)" numFmtId="0">
      <sharedItems containsNonDate="0"/>
    </cacheField>
    <cacheField name="ИНН_x000a__x000a_(стр. 130)" numFmtId="0">
      <sharedItems count="194">
        <s v="5036172700"/>
        <s v="5029069967"/>
        <s v="5050120581"/>
        <s v="5042156009"/>
        <s v="7447274893"/>
        <s v="7802819968"/>
        <s v="6140006532"/>
        <s v="7718979307"/>
        <s v="6320050611"/>
        <s v="7722753969"/>
        <s v="0276162440"/>
        <s v="5904357155"/>
        <s v="2013800544"/>
        <s v="5244032711"/>
        <s v="5029230503"/>
        <s v="3706028123"/>
        <s v="500402154389"/>
        <s v="7710206721"/>
        <s v="7610080480"/>
        <s v="575103189411"/>
        <s v="5030078116"/>
        <s v="5752085137"/>
        <s v="9703052129"/>
        <s v="7726636127"/>
        <s v="9717099543"/>
        <s v="7609018783"/>
        <s v="7751162150"/>
        <s v="7720344262"/>
        <s v="4632286880"/>
        <s v="5042157235"/>
        <s v="8911030188"/>
        <s v="2130224090"/>
        <s v="7718930397"/>
        <s v="7730205606"/>
        <s v="1656051233"/>
        <s v="7715461764"/>
        <s v="7724721289"/>
        <s v="7705559961"/>
        <s v="5644023800"/>
        <s v="5038124477"/>
        <s v="7826156685"/>
        <s v="3705010099"/>
        <s v="6732162057"/>
        <s v="7602154970"/>
        <s v="0554008879"/>
        <s v="2130210041"/>
        <s v="7804516800"/>
        <s v="2130223001"/>
        <s v="7326047367"/>
        <s v="7804526950"/>
        <s v="9717075020"/>
        <s v="6714034334"/>
        <s v="7604280579"/>
        <s v="5754023305"/>
        <s v="5036151891"/>
        <s v="9705171890"/>
        <s v="3702719610"/>
        <s v="6950216778"/>
        <s v="504505909543"/>
        <s v="5257157274"/>
        <s v="4703126357"/>
        <s v="5048057893"/>
        <s v="1840099685"/>
        <s v="503821691357"/>
        <s v="5074076606"/>
        <s v="5027141583"/>
        <s v="5259109999"/>
        <s v="7719499303"/>
        <s v="7725498851"/>
        <s v="9702038153"/>
        <s v="7727449987"/>
        <s v="7724944253"/>
        <s v="7811749386"/>
        <s v="1841082966"/>
        <s v="6732118788"/>
        <s v="2323031240"/>
        <s v="6141050189"/>
        <s v="7731321860"/>
        <s v="5029102558"/>
        <s v="7702450324"/>
        <s v="7714820869"/>
        <s v="7719898851"/>
        <s v="5050098914"/>
        <s v="5027302008"/>
        <s v="6318194380"/>
        <s v="3663118732"/>
        <s v="761102837735"/>
        <s v="505024909214"/>
        <s v="3334022545"/>
        <s v="3327117958"/>
        <s v="1840116933"/>
        <s v="5047186751"/>
        <s v="7100026196"/>
        <s v="7610123020"/>
        <s v="5074072418"/>
        <s v="7721793895"/>
        <s v="5042025951"/>
        <s v="5042117088"/>
        <s v="7447261358"/>
        <s v="7736520080"/>
        <s v="7733765116"/>
        <s v="6829047322"/>
        <s v="3327847538"/>
        <s v="6950267934"/>
        <s v="7727181433"/>
        <s v="7602114576"/>
        <s v="6164139041"/>
        <s v="0273094417"/>
        <s v="7720458774"/>
        <s v="7718620740"/>
        <s v="5036156949"/>
        <s v="7704217370"/>
        <s v="3702243578"/>
        <s v="5008043929"/>
        <s v="3664248068"/>
        <s v="3329101505"/>
        <s v="7709965851"/>
        <s v="7725645954"/>
        <s v="5042146988"/>
        <s v="7716955438"/>
        <s v="7735151383"/>
        <s v="5042127223"/>
        <s v="1326249370"/>
        <s v="504214929520"/>
        <s v="5042013804"/>
        <s v="7720880217"/>
        <s v="9723049460"/>
        <s v="7726659406"/>
        <s v="7706135690"/>
        <s v="7729486906"/>
        <s v="7728319846"/>
        <s v="5403009534"/>
        <s v="5246055094"/>
        <s v="5050162084"/>
        <s v="6455041925"/>
        <s v="9704232685"/>
        <s v="5042116359"/>
        <s v="9709058790"/>
        <s v="7736207543"/>
        <s v="6164141192"/>
        <s v="7447084733"/>
        <s v="3702121876"/>
        <s v="7710668349"/>
        <s v="7751165400"/>
        <s v="5050149750"/>
        <s v="4029053919"/>
        <s v="7707425843"/>
        <s v="7702433142"/>
        <s v="7805806798"/>
        <s v="5042158422"/>
        <s v="5038137035"/>
        <s v="2311312461"/>
        <s v="5050154485"/>
        <s v="7727297766"/>
        <s v="7720497766"/>
        <s v="7724447950"/>
        <s v="7736296832"/>
        <s v="7715215141"/>
        <s v="9728004134"/>
        <s v="7719725432"/>
        <s v="7733320090"/>
        <s v="7728453697"/>
        <s v="7733717842"/>
        <s v="5001153104"/>
        <s v="7453340713"/>
        <s v="5036088400"/>
        <s v="9726036518"/>
        <s v="9724127689"/>
        <s v="5050132481"/>
        <s v="6166094734"/>
        <s v="5047301644"/>
        <s v="5042135506"/>
        <s v="7719484466"/>
        <s v="5042148978"/>
        <s v="9722050286"/>
        <s v="7729464780"/>
        <s v="3702262147"/>
        <s v="7733618175"/>
        <s v="5036123492"/>
        <s v="504202270603"/>
        <s v="5042148061"/>
        <s v="9722040295"/>
        <s v="3702184812"/>
        <s v="351124491522"/>
        <s v="5250056647"/>
        <s v="9719033731"/>
        <s v="3300009909"/>
        <s v="7730319297"/>
        <s v="3300006023"/>
        <s v="3301023208"/>
        <s v="3705065919"/>
        <s v="9722050960"/>
        <s v="7321009921"/>
        <s v="6316226870"/>
      </sharedItems>
    </cacheField>
    <cacheField name="КПП_x000a__x000a_(стр. 130)" numFmtId="0">
      <sharedItems containsNonDate="0"/>
    </cacheField>
    <cacheField name="Наименование" numFmtId="0">
      <sharedItems count="194">
        <s v="ООО &quot;НОВАЯ ВОЛНА&quot;"/>
        <s v="ООО &quot;ЛЕ МОНЛИД&quot;"/>
        <s v="ООО &quot;ХИМСПЕЦ&quot;"/>
        <s v="ООО&quot;ПРП&quot;"/>
        <s v="ООО &quot;ПАРАЛЛЕЛЬ&quot;"/>
        <s v="ООО &quot;АТИ-МЕДИА&quot;"/>
        <s v="ООО &quot;ВТОРМА&quot;"/>
        <s v="ООО &quot;СИТИЛИНК&quot;"/>
        <s v="ООО ГК &quot;ЛОГТРЕЙД&quot;"/>
        <s v="ООО &quot;ВСЕИНСТРУМЕНТЫ.РУ&quot;"/>
        <s v="ООО &quot;ТД &quot;КРЕЗОЛ&quot;"/>
        <s v="ООО &quot;КРАЙПРОМ&quot;"/>
        <s v="ООО &quot;ЭКОЛОГИЧЕСКАЯ КОРПОРАЦИЯ&quot;"/>
        <s v="ООО &quot;ТРАНСПОРТНАЯ КОМПАНИЯ ВИЛЕРА&quot;"/>
        <s v="ООО &quot;100БАС&quot;"/>
        <s v="ООО &quot;ТИБУРОН&quot;"/>
        <s v="РАДЖАБОВ АНДРЕЙ АБДУЛАЗИЗОВИЧ"/>
        <s v="ООО &quot;КОМПАНИЯ РОНИКС&quot;"/>
        <s v="ООО &quot;КОНДИ С&quot;"/>
        <s v="БОНДАРЕНКО АНДРЕЙ НИКОЛАЕВИЧ"/>
        <s v="ООО &quot;БРИТИШ ПОЛИМЕР&quot;"/>
        <s v="ООО &quot;ОРЛОВСКАЯ ТРАНСПОРТНАЯ КОМПАНИЯ&quot;"/>
        <s v="ООО &quot;СВЯЗЬ КОНТИНЕНТОВ&quot;"/>
        <s v="ООО &quot;ВТОРЭКОТРАНС&quot;"/>
        <s v="ООО &quot;ТПК &quot;ТЕХПРИВОД&quot;"/>
        <s v="ООО &quot;СФЕРА&quot;"/>
        <s v="ООО УК &quot;САНГКАТ&quot;"/>
        <s v="ООО &quot;ГТА&quot;"/>
        <s v="ООО &quot;ТАРГЕТ&quot;"/>
        <s v="ООО &quot;СТОМЕТ&quot;"/>
        <s v="ООО &quot;ЯМАЛ ВТОРМЕТ ЭКОЛОГИЯ&quot;"/>
        <s v="ООО &quot;РЕГИОН ПАРТНЕР+&quot;"/>
        <s v="ООО &quot;ТЕХ-ИНДУСТРИЯ&quot;"/>
        <s v="ООО &quot;БЕРКАНА&quot;"/>
        <s v="ООО &quot;ВЕСТФАЛИЯ КАЗАНЬ&quot;"/>
        <s v="ООО ТК &quot;СЕВЕР&quot;"/>
        <s v="ООО &quot;КАПИТАЛ МЕТТ&quot;"/>
        <s v="ООО &quot;КОМПАНИЯ ТЕХПРИВОД&quot;"/>
        <s v="ООО &quot;В2 ЛОГИСТИКА&quot;"/>
        <s v="ООО &quot;ПОБЕДА&quot;"/>
        <s v="ООО&quot;ДЕЛОВЫЕ ЛИНИИ&quot;"/>
        <s v="ООО &quot;МАКПЛАСТ&quot;"/>
        <s v="ООО &quot;МЕТАЛЛОПЛАСТ&quot;"/>
        <s v="ООО &quot;СТРЭНГА-ПЛАСТ&quot;"/>
        <s v="ООО &quot;АМФА&quot;"/>
        <s v="ООО &quot;АЛИСА&quot;"/>
        <s v="ООО &quot;ПИЛОУС&quot;"/>
        <s v="ООО &quot;ОЛИМП&quot;"/>
        <s v="ООО &quot;ПЛАСТРЕСУРС&quot;"/>
        <s v="ООО &quot;ТД &quot;ЭЛЕКТРОТЕХМОНТАЖ&quot;"/>
        <s v="ООО &quot;ВАВИЛОНС&quot;"/>
        <s v="ООО &quot;ЕВРОМАРКЕТ&quot;"/>
        <s v="ООО &quot;ПРЕМИУМ-ПЛЮС&quot;"/>
        <s v="ООО &quot;ГРИНПАРКТЕХНОЛОГИИ&quot;"/>
        <s v="ООО &quot;МИРОВОЕ ОБОРУДОВАНИЕ&quot;"/>
        <s v="ООО &quot;МАРКЕТ.ТРЕЙД&quot;"/>
        <s v="ООО &quot;ПРОСТОР-ИВАНОВО&quot;"/>
        <s v="ООО &quot;АРГО&quot;"/>
        <s v="АРИСТОВ АНДРЕЙ НИКОЛАЕВИЧ"/>
        <s v="ООО &quot;ПРОФЕССИОНАЛЬНЫЕ ТЕХНОЛОГИИ&quot;"/>
        <s v="ООО &quot;АФБ СИСТЕМА&quot;"/>
        <s v="ООО &quot;ЛОГИСТИКА 24/7&quot;"/>
        <s v="ООО &quot;АЗИМУТ ПЛЮС&quot;"/>
        <s v="ДЖУРАЕВА ГУЛЬБАХОР ХАБИБУЛЛОЕВНА"/>
        <s v="ООО &quot;ЭРА+&quot;"/>
        <s v="ООО &quot;КИРЕЛИС&quot;"/>
        <s v="ООО &quot;ИСТОК 52&quot;"/>
        <s v="ООО &quot;БК ЛОГИСТИКА&quot;"/>
        <s v="ООО &quot;ПРО ВОСТОК&quot;"/>
        <s v="ООО ТК РЕГИОН"/>
        <s v="ООО ГК &quot;ЗАЩИТА-СЕРВИС&quot;"/>
        <s v="ООО &quot;ТК РИМ&quot;"/>
        <s v="ООО &quot;ЧИСТЫЙ ГОРОД&quot;"/>
        <s v="ООО &quot;АЗИМУТ&quot;"/>
        <s v="ООО &quot;ВИГОРСЕН-РУС&quot;"/>
        <s v="ООО &quot;АМИКО&quot;"/>
        <s v="ООО &quot;ДОНАВТОТРАНС&quot;"/>
        <s v="ООО &quot;АКВА-ЛАБ&quot;"/>
        <s v="ООО &quot;ПРЕСТИЖ&quot;"/>
        <s v="ООО &quot;ПП-ПАРТНЕР&quot;"/>
        <s v="ООО &quot;ЭЛЕКТРОН&quot;"/>
        <s v="ООО &quot;ЭНЕРГОСТРОЙПОСТАВКА&quot;"/>
        <s v="ООО &quot;ВУДДЕКЕР&quot;"/>
        <s v="ООО &quot;МИГ-ГРУПП&quot;"/>
        <s v="ООО &quot;УСПЕХ ПЛЮС&quot;"/>
        <s v="ООО &quot;СТЕПТРЕЙД&quot;"/>
        <s v="ГАВРИЛЮК АРТЕМ АНДРЕЕВИЧ"/>
        <s v="КРОЛЕВЕЦ СТЕПАН ИВАНОВИЧ"/>
        <s v="ООО &quot;ДИЗЕЛЬ-М&quot;"/>
        <s v="ООО &quot;ПКП ВТОРМА&quot;"/>
        <s v="ООО &quot;ЛЕМУС&quot;"/>
        <s v="ООО &quot;НЕКСТТУЛС&quot;"/>
        <s v="ООО &quot;ОПМ-ГРУПП&quot;"/>
        <s v="ООО &quot;РУСМАК&quot;"/>
        <s v="ООО &quot;ИЛСЕРВИС&quot;"/>
        <s v="ООО &quot;КОМУС&quot;"/>
        <s v="ООО &quot;Дуэт&quot;"/>
        <s v="ООО &quot;ЭнергоВЕК&quot;"/>
        <s v="ООО &quot;ТПК &quot;ДАГАЗ&quot;"/>
        <s v="АО &quot;МОСЭНЕРГОСБЫТ&quot;"/>
        <s v="ООО &quot;ГРИФФИН ТЕХНОЛОДЖИ&quot;"/>
        <s v="ООО &quot;ТРАНСФОРМАТОР ПРОДАЖ&quot;"/>
        <s v="ООО &quot;ВТОРМА КЛИНИНГ&quot;"/>
        <s v="ООО &quot;ПЛАСТРЕЗЕРВ&quot;"/>
        <s v="ООО &quot;РЕЦИКЛЕН&quot;"/>
        <s v="ООО &quot;ИНВЕСТТОРГ&quot;"/>
        <s v="ООО ТПП &quot;ПЛАСТИК ЭКСПЕРТ&quot;"/>
        <s v="ООО &quot;КРЕЗОЛ-НЕФТЕСЕРВИС&quot;"/>
        <s v="ООО &quot;СЕРВИСЛОГИСТИК&quot;"/>
        <s v="ООО &quot;ХЭДХАНТЕР&quot;"/>
        <s v="ООО &quot;ГРУППА КОМПАНИЙ АМД&quot;"/>
        <s v="ООО &quot;ИНТЕРНЕТ РЕШЕНИЯ&quot;"/>
        <s v="ООО &quot;ТД &quot;АРМАДА&quot;"/>
        <s v="ООО &quot;ТД &quot;СМАРТВЕС&quot;"/>
        <s v="ООО &quot;ВЕРШИНА&quot;"/>
        <s v="ООО &quot;НАЦ-РЕСУРС&quot;"/>
        <s v="ООО &quot;ИНЖЕНЕРИКА&quot;"/>
        <s v="ООО &quot;ИННОРУС&quot;"/>
        <s v="ООО &quot;СТРОЙЛЮКС&quot;"/>
        <s v="ООО &quot;ЗАПСНАБ&quot;"/>
        <s v="ООО &quot;ТРАНСЗЕЛСЕРВИС&quot;"/>
        <s v="ООО &quot;ТЕПЛОТЭН&quot;"/>
        <s v=""/>
        <s v="ЧУМИЧЕВ ВЯЧЕСЛАВ ЮРЬЕВИЧ"/>
        <s v="АО &quot;НИИРП&quot;"/>
        <s v="ООО &quot;ПРИУС&quot;"/>
        <s v="ООО ТК &quot;АСТРА&quot;"/>
        <s v="ООО &quot;ПАЛЛЕТ-СТРОЙ ПЛЮС&quot;"/>
        <s v="ООО &quot;МАСТЕРБАТЧ СВ&quot;"/>
        <s v="ООО &quot;ХИМПРОМАЛЬЯНС&quot;"/>
        <s v="ООО &quot;МЕТАЛЛСЕРВИС&quot;"/>
        <s v="ООО &quot;АВТОБЭСТ СЕРВИС&quot;"/>
        <s v="ООО &quot;ВЕК УСПЕХА&quot;"/>
        <s v="ООО &quot;ПЛАСТКОМ&quot;"/>
        <s v="ООО &quot;ЭКОНОМЛИЗИНГ&quot;"/>
        <s v="ООО &quot;МАСТЕР АС&quot;"/>
        <s v="ООО &quot;СТРОЙИНВЕСТ-СЕРВИС&quot;"/>
        <s v="ООО &quot;КУРСОР&quot;"/>
        <s v="ООО &quot;ЯНДЕКС&quot;"/>
        <s v="ООО &quot;АУРЛАЙН&quot;"/>
        <s v="ООО &quot;УРАЛЬСКАЯ КАБЕЛЬНАЯ КОМПАНИЯ&quot;"/>
        <s v="ООО &quot;РУССКИЙ МЕТАЛЛ&quot;"/>
        <s v="ООО &quot;КЕХ ЕКОММЕРЦ&quot;"/>
        <s v="ООО &quot;КОМПАНИЯ КОМПЛЕКС&quot;"/>
        <s v="ООО &quot;СЕРВИС ПОГРУЗЧИКОВ&quot;"/>
        <s v="ООО &quot;КСТ-ЭКОЛОГИЯ&quot;"/>
        <s v="ООО &quot;ПРОМО-КАРТА&quot;"/>
        <s v="ООО &quot;ТД БИЗЗОН&quot;"/>
        <s v="ООО &quot;ДИВИЗИОН&quot;"/>
        <s v="ООО &quot;АВТОСКЛАДЫ&quot;"/>
        <s v="ООО ТК &quot;МЕТАЛЛУРГ&quot;"/>
        <s v="ООО &quot;ГПА ЮФО&quot;"/>
        <s v="ООО &quot;ЭЛЬБРУС&quot;"/>
        <s v="ООО &quot;ГЛТ МОСКВА&quot;"/>
        <s v="ООО &quot;ГТМ&quot;"/>
        <s v="ООО &quot;АЛЬТЭК&quot;"/>
        <s v="ООО &quot;ЭРАЛОГИСТИК&quot;"/>
        <s v="ООО &quot;МФК ТЕХЭНЕРГО&quot;"/>
        <s v="ООО &quot;БАЙКАЛ-ФАРМА&quot;"/>
        <s v="ООО &quot;ЛИДЕР&quot;"/>
        <s v="ООО &quot;РЭМ&quot;"/>
        <s v="ООО &quot;СТОЛИЧНЫЙ МЕТАЛЛ&quot;"/>
        <s v="ООО &quot;ЮНИОНЭЛЕКТРО&quot;"/>
        <s v="ООО ТК &quot;ВЕЛИКАН&quot;"/>
        <s v="ООО &quot;АДК ТРАНС&quot;"/>
        <s v="ООО &quot;ТИМКРАФТ&quot;"/>
        <s v="ООО &quot;БЕСТБИЗ&quot;"/>
        <s v="ООО &quot;ЭКОГРИН&quot;"/>
        <s v="ООО &quot;МЕТАЛЛОКОМПЛЕКТ-СЕРВИС&quot;"/>
        <s v="ООО &lt;&lt;МИР&gt;&gt;"/>
        <s v="ООО &quot;РТА&quot;"/>
        <s v="ООО &quot;ТД ИТС-СЕВЕР&quot;"/>
        <s v="ООО &quot;ВЕКТОР-С&quot;"/>
        <s v="ООО &quot;РЕМЕКС&quot;"/>
        <s v="ООО &quot;ПАРУС&quot;"/>
        <s v="ООО &quot;СТАЛЬНАЯ ПТИЦА&quot;"/>
        <s v="ООО &quot;ЭКОПЛЮС-М&quot;"/>
        <s v="ООО &quot;ПФ ОСВ ПАК&quot;"/>
        <s v="ООО &quot;АВТОВИРАЖ&quot;"/>
        <s v="МАТВЕЕВА ГАЛИНА АЛЕКСАНДРОВНА"/>
        <s v="ООО &quot;СК&quot;"/>
        <s v="ООО &quot;ИНВЕНТАРЬ&quot;"/>
        <s v="ООО &quot;ПРОМПОЛИМЕРЫ&quot;"/>
        <s v="КОПОСОВ ДМИТРИЙ СЕРГЕЕВИЧ"/>
        <s v="ООО &quot;ИТЕКО РОССИЯ&quot;"/>
        <s v="ООО &quot;ФЛАГМАН 2&quot;"/>
        <s v="ООО ГК &quot;ИМПЕРИЯ&quot;"/>
        <s v="ООО &quot;ВИРАЖ&quot;"/>
        <s v="ООО &quot;БЕТОНСТРОЙМОНТАЖ&quot;"/>
        <s v="ООО &quot;ТРАНСКО&quot;"/>
        <s v="ООО &quot;УТБО&quot;"/>
        <s v="ООО &quot;ТК ВОСТОК&quot;"/>
        <s v="ООО &quot;УЛВТОР&quot;"/>
        <s v="ООО &quot;ТБО-ЭКОАРХИВ&quot;"/>
      </sharedItems>
    </cacheField>
    <cacheField name="Стоимость покупок с НДС_x000a__x000a_(стр. 170)" numFmtId="165">
      <sharedItems containsSemiMixedTypes="0" containsNonDate="0" containsString="0" containsNumber="1" minValue="0" maxValue="2200000"/>
    </cacheField>
    <cacheField name="Сумма НДС_x000a__x000a_(стр. 180)" numFmtId="165">
      <sharedItems containsSemiMixedTypes="0" containsNonDate="0" containsString="0" containsNumber="1" minValue="0" maxValue="366666.67"/>
    </cacheField>
    <cacheField name="Сведения о посреднике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7">
  <r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0"/>
    <x v="0"/>
    <x v="1"/>
    <x v="0"/>
  </r>
  <r>
    <x v="2"/>
    <x v="0"/>
    <x v="0"/>
    <x v="2"/>
    <x v="2"/>
    <x v="1"/>
    <x v="1"/>
    <x v="1"/>
    <x v="1"/>
    <x v="2"/>
    <x v="1"/>
  </r>
  <r>
    <x v="3"/>
    <x v="0"/>
    <x v="0"/>
    <x v="3"/>
    <x v="3"/>
    <x v="2"/>
    <x v="2"/>
    <x v="2"/>
    <x v="2"/>
    <x v="3"/>
    <x v="2"/>
  </r>
  <r>
    <x v="4"/>
    <x v="0"/>
    <x v="0"/>
    <x v="4"/>
    <x v="4"/>
    <x v="3"/>
    <x v="3"/>
    <x v="3"/>
    <x v="3"/>
    <x v="4"/>
    <x v="3"/>
  </r>
  <r>
    <x v="5"/>
    <x v="0"/>
    <x v="0"/>
    <x v="5"/>
    <x v="5"/>
    <x v="3"/>
    <x v="3"/>
    <x v="3"/>
    <x v="3"/>
    <x v="4"/>
    <x v="3"/>
  </r>
  <r>
    <x v="6"/>
    <x v="1"/>
    <x v="1"/>
    <x v="6"/>
    <x v="6"/>
    <x v="4"/>
    <x v="4"/>
    <x v="4"/>
    <x v="4"/>
    <x v="1"/>
    <x v="4"/>
  </r>
  <r>
    <x v="7"/>
    <x v="1"/>
    <x v="0"/>
    <x v="7"/>
    <x v="7"/>
    <x v="4"/>
    <x v="4"/>
    <x v="4"/>
    <x v="4"/>
    <x v="5"/>
    <x v="4"/>
  </r>
  <r>
    <x v="8"/>
    <x v="1"/>
    <x v="1"/>
    <x v="8"/>
    <x v="8"/>
    <x v="2"/>
    <x v="2"/>
    <x v="2"/>
    <x v="5"/>
    <x v="1"/>
    <x v="5"/>
  </r>
  <r>
    <x v="9"/>
    <x v="1"/>
    <x v="0"/>
    <x v="9"/>
    <x v="9"/>
    <x v="3"/>
    <x v="3"/>
    <x v="3"/>
    <x v="6"/>
    <x v="6"/>
    <x v="6"/>
  </r>
  <r>
    <x v="10"/>
    <x v="1"/>
    <x v="0"/>
    <x v="10"/>
    <x v="10"/>
    <x v="4"/>
    <x v="4"/>
    <x v="4"/>
    <x v="7"/>
    <x v="7"/>
    <x v="7"/>
  </r>
  <r>
    <x v="11"/>
    <x v="1"/>
    <x v="0"/>
    <x v="11"/>
    <x v="11"/>
    <x v="2"/>
    <x v="2"/>
    <x v="2"/>
    <x v="5"/>
    <x v="8"/>
    <x v="5"/>
  </r>
  <r>
    <x v="12"/>
    <x v="1"/>
    <x v="0"/>
    <x v="12"/>
    <x v="12"/>
    <x v="4"/>
    <x v="4"/>
    <x v="4"/>
    <x v="8"/>
    <x v="9"/>
    <x v="8"/>
  </r>
  <r>
    <x v="13"/>
    <x v="1"/>
    <x v="0"/>
    <x v="13"/>
    <x v="13"/>
    <x v="4"/>
    <x v="4"/>
    <x v="4"/>
    <x v="9"/>
    <x v="10"/>
    <x v="9"/>
  </r>
  <r>
    <x v="14"/>
    <x v="1"/>
    <x v="0"/>
    <x v="14"/>
    <x v="14"/>
    <x v="4"/>
    <x v="4"/>
    <x v="4"/>
    <x v="10"/>
    <x v="11"/>
    <x v="10"/>
  </r>
  <r>
    <x v="15"/>
    <x v="2"/>
    <x v="1"/>
    <x v="15"/>
    <x v="15"/>
    <x v="4"/>
    <x v="4"/>
    <x v="4"/>
    <x v="11"/>
    <x v="1"/>
    <x v="11"/>
  </r>
  <r>
    <x v="16"/>
    <x v="2"/>
    <x v="0"/>
    <x v="16"/>
    <x v="16"/>
    <x v="4"/>
    <x v="4"/>
    <x v="4"/>
    <x v="12"/>
    <x v="12"/>
    <x v="12"/>
  </r>
  <r>
    <x v="17"/>
    <x v="2"/>
    <x v="0"/>
    <x v="17"/>
    <x v="17"/>
    <x v="5"/>
    <x v="5"/>
    <x v="5"/>
    <x v="13"/>
    <x v="13"/>
    <x v="13"/>
  </r>
  <r>
    <x v="18"/>
    <x v="2"/>
    <x v="1"/>
    <x v="18"/>
    <x v="18"/>
    <x v="6"/>
    <x v="6"/>
    <x v="6"/>
    <x v="14"/>
    <x v="1"/>
    <x v="14"/>
  </r>
  <r>
    <x v="19"/>
    <x v="2"/>
    <x v="0"/>
    <x v="19"/>
    <x v="19"/>
    <x v="4"/>
    <x v="4"/>
    <x v="4"/>
    <x v="15"/>
    <x v="14"/>
    <x v="15"/>
  </r>
  <r>
    <x v="20"/>
    <x v="2"/>
    <x v="0"/>
    <x v="20"/>
    <x v="20"/>
    <x v="7"/>
    <x v="7"/>
    <x v="7"/>
    <x v="16"/>
    <x v="15"/>
    <x v="16"/>
  </r>
  <r>
    <x v="21"/>
    <x v="2"/>
    <x v="1"/>
    <x v="21"/>
    <x v="20"/>
    <x v="8"/>
    <x v="4"/>
    <x v="8"/>
    <x v="17"/>
    <x v="1"/>
    <x v="17"/>
  </r>
  <r>
    <x v="22"/>
    <x v="2"/>
    <x v="0"/>
    <x v="22"/>
    <x v="21"/>
    <x v="6"/>
    <x v="6"/>
    <x v="6"/>
    <x v="14"/>
    <x v="16"/>
    <x v="14"/>
  </r>
  <r>
    <x v="23"/>
    <x v="2"/>
    <x v="1"/>
    <x v="23"/>
    <x v="22"/>
    <x v="8"/>
    <x v="4"/>
    <x v="8"/>
    <x v="18"/>
    <x v="1"/>
    <x v="18"/>
  </r>
  <r>
    <x v="24"/>
    <x v="2"/>
    <x v="1"/>
    <x v="24"/>
    <x v="23"/>
    <x v="8"/>
    <x v="4"/>
    <x v="8"/>
    <x v="18"/>
    <x v="1"/>
    <x v="18"/>
  </r>
  <r>
    <x v="25"/>
    <x v="3"/>
    <x v="0"/>
    <x v="25"/>
    <x v="24"/>
    <x v="8"/>
    <x v="4"/>
    <x v="8"/>
    <x v="19"/>
    <x v="17"/>
    <x v="19"/>
  </r>
  <r>
    <x v="26"/>
    <x v="3"/>
    <x v="1"/>
    <x v="1"/>
    <x v="25"/>
    <x v="8"/>
    <x v="4"/>
    <x v="8"/>
    <x v="19"/>
    <x v="1"/>
    <x v="19"/>
  </r>
  <r>
    <x v="27"/>
    <x v="3"/>
    <x v="0"/>
    <x v="26"/>
    <x v="26"/>
    <x v="8"/>
    <x v="4"/>
    <x v="8"/>
    <x v="20"/>
    <x v="18"/>
    <x v="20"/>
  </r>
  <r>
    <x v="28"/>
    <x v="3"/>
    <x v="0"/>
    <x v="0"/>
    <x v="27"/>
    <x v="8"/>
    <x v="4"/>
    <x v="8"/>
    <x v="21"/>
    <x v="19"/>
    <x v="21"/>
  </r>
  <r>
    <x v="29"/>
    <x v="3"/>
    <x v="1"/>
    <x v="6"/>
    <x v="28"/>
    <x v="8"/>
    <x v="4"/>
    <x v="8"/>
    <x v="22"/>
    <x v="1"/>
    <x v="22"/>
  </r>
  <r>
    <x v="30"/>
    <x v="3"/>
    <x v="1"/>
    <x v="8"/>
    <x v="29"/>
    <x v="9"/>
    <x v="8"/>
    <x v="9"/>
    <x v="23"/>
    <x v="1"/>
    <x v="23"/>
  </r>
  <r>
    <x v="31"/>
    <x v="3"/>
    <x v="0"/>
    <x v="27"/>
    <x v="30"/>
    <x v="9"/>
    <x v="8"/>
    <x v="9"/>
    <x v="24"/>
    <x v="20"/>
    <x v="24"/>
  </r>
  <r>
    <x v="32"/>
    <x v="3"/>
    <x v="0"/>
    <x v="4"/>
    <x v="31"/>
    <x v="10"/>
    <x v="9"/>
    <x v="10"/>
    <x v="25"/>
    <x v="21"/>
    <x v="25"/>
  </r>
  <r>
    <x v="33"/>
    <x v="3"/>
    <x v="1"/>
    <x v="15"/>
    <x v="32"/>
    <x v="11"/>
    <x v="10"/>
    <x v="11"/>
    <x v="23"/>
    <x v="1"/>
    <x v="23"/>
  </r>
  <r>
    <x v="34"/>
    <x v="3"/>
    <x v="0"/>
    <x v="2"/>
    <x v="33"/>
    <x v="8"/>
    <x v="4"/>
    <x v="8"/>
    <x v="26"/>
    <x v="22"/>
    <x v="26"/>
  </r>
  <r>
    <x v="35"/>
    <x v="3"/>
    <x v="0"/>
    <x v="3"/>
    <x v="33"/>
    <x v="8"/>
    <x v="4"/>
    <x v="8"/>
    <x v="27"/>
    <x v="23"/>
    <x v="27"/>
  </r>
  <r>
    <x v="36"/>
    <x v="3"/>
    <x v="1"/>
    <x v="18"/>
    <x v="34"/>
    <x v="11"/>
    <x v="10"/>
    <x v="11"/>
    <x v="28"/>
    <x v="1"/>
    <x v="28"/>
  </r>
  <r>
    <x v="37"/>
    <x v="3"/>
    <x v="0"/>
    <x v="28"/>
    <x v="35"/>
    <x v="11"/>
    <x v="10"/>
    <x v="11"/>
    <x v="29"/>
    <x v="24"/>
    <x v="29"/>
  </r>
  <r>
    <x v="38"/>
    <x v="3"/>
    <x v="1"/>
    <x v="21"/>
    <x v="36"/>
    <x v="10"/>
    <x v="9"/>
    <x v="10"/>
    <x v="30"/>
    <x v="1"/>
    <x v="30"/>
  </r>
  <r>
    <x v="39"/>
    <x v="3"/>
    <x v="0"/>
    <x v="5"/>
    <x v="37"/>
    <x v="10"/>
    <x v="9"/>
    <x v="10"/>
    <x v="31"/>
    <x v="25"/>
    <x v="31"/>
  </r>
  <r>
    <x v="40"/>
    <x v="3"/>
    <x v="0"/>
    <x v="7"/>
    <x v="38"/>
    <x v="8"/>
    <x v="4"/>
    <x v="8"/>
    <x v="32"/>
    <x v="26"/>
    <x v="32"/>
  </r>
  <r>
    <x v="41"/>
    <x v="4"/>
    <x v="0"/>
    <x v="9"/>
    <x v="39"/>
    <x v="10"/>
    <x v="9"/>
    <x v="10"/>
    <x v="33"/>
    <x v="27"/>
    <x v="33"/>
  </r>
  <r>
    <x v="42"/>
    <x v="4"/>
    <x v="0"/>
    <x v="10"/>
    <x v="40"/>
    <x v="12"/>
    <x v="11"/>
    <x v="12"/>
    <x v="34"/>
    <x v="28"/>
    <x v="34"/>
  </r>
  <r>
    <x v="43"/>
    <x v="4"/>
    <x v="0"/>
    <x v="11"/>
    <x v="40"/>
    <x v="12"/>
    <x v="11"/>
    <x v="12"/>
    <x v="35"/>
    <x v="29"/>
    <x v="35"/>
  </r>
  <r>
    <x v="44"/>
    <x v="4"/>
    <x v="0"/>
    <x v="12"/>
    <x v="40"/>
    <x v="12"/>
    <x v="11"/>
    <x v="12"/>
    <x v="36"/>
    <x v="30"/>
    <x v="36"/>
  </r>
  <r>
    <x v="45"/>
    <x v="4"/>
    <x v="0"/>
    <x v="29"/>
    <x v="41"/>
    <x v="13"/>
    <x v="12"/>
    <x v="13"/>
    <x v="37"/>
    <x v="31"/>
    <x v="37"/>
  </r>
  <r>
    <x v="46"/>
    <x v="4"/>
    <x v="0"/>
    <x v="30"/>
    <x v="42"/>
    <x v="13"/>
    <x v="12"/>
    <x v="13"/>
    <x v="38"/>
    <x v="32"/>
    <x v="38"/>
  </r>
  <r>
    <x v="47"/>
    <x v="4"/>
    <x v="0"/>
    <x v="13"/>
    <x v="43"/>
    <x v="10"/>
    <x v="9"/>
    <x v="10"/>
    <x v="39"/>
    <x v="33"/>
    <x v="39"/>
  </r>
  <r>
    <x v="48"/>
    <x v="4"/>
    <x v="0"/>
    <x v="14"/>
    <x v="43"/>
    <x v="10"/>
    <x v="9"/>
    <x v="10"/>
    <x v="40"/>
    <x v="34"/>
    <x v="40"/>
  </r>
  <r>
    <x v="49"/>
    <x v="4"/>
    <x v="0"/>
    <x v="22"/>
    <x v="44"/>
    <x v="10"/>
    <x v="9"/>
    <x v="10"/>
    <x v="41"/>
    <x v="35"/>
    <x v="41"/>
  </r>
  <r>
    <x v="50"/>
    <x v="4"/>
    <x v="0"/>
    <x v="16"/>
    <x v="45"/>
    <x v="14"/>
    <x v="13"/>
    <x v="14"/>
    <x v="42"/>
    <x v="36"/>
    <x v="42"/>
  </r>
  <r>
    <x v="51"/>
    <x v="4"/>
    <x v="0"/>
    <x v="17"/>
    <x v="46"/>
    <x v="15"/>
    <x v="14"/>
    <x v="15"/>
    <x v="43"/>
    <x v="37"/>
    <x v="43"/>
  </r>
  <r>
    <x v="52"/>
    <x v="4"/>
    <x v="0"/>
    <x v="19"/>
    <x v="47"/>
    <x v="14"/>
    <x v="13"/>
    <x v="14"/>
    <x v="44"/>
    <x v="38"/>
    <x v="44"/>
  </r>
  <r>
    <x v="53"/>
    <x v="4"/>
    <x v="0"/>
    <x v="20"/>
    <x v="48"/>
    <x v="15"/>
    <x v="14"/>
    <x v="15"/>
    <x v="45"/>
    <x v="39"/>
    <x v="45"/>
  </r>
  <r>
    <x v="54"/>
    <x v="4"/>
    <x v="0"/>
    <x v="31"/>
    <x v="49"/>
    <x v="10"/>
    <x v="9"/>
    <x v="10"/>
    <x v="46"/>
    <x v="40"/>
    <x v="46"/>
  </r>
  <r>
    <x v="55"/>
    <x v="5"/>
    <x v="2"/>
    <x v="32"/>
    <x v="50"/>
    <x v="16"/>
    <x v="15"/>
    <x v="16"/>
    <x v="47"/>
    <x v="1"/>
    <x v="47"/>
  </r>
  <r>
    <x v="56"/>
    <x v="5"/>
    <x v="2"/>
    <x v="33"/>
    <x v="51"/>
    <x v="16"/>
    <x v="15"/>
    <x v="16"/>
    <x v="48"/>
    <x v="1"/>
    <x v="48"/>
  </r>
  <r>
    <x v="57"/>
    <x v="5"/>
    <x v="0"/>
    <x v="34"/>
    <x v="52"/>
    <x v="15"/>
    <x v="14"/>
    <x v="15"/>
    <x v="49"/>
    <x v="41"/>
    <x v="49"/>
  </r>
  <r>
    <x v="58"/>
    <x v="5"/>
    <x v="0"/>
    <x v="35"/>
    <x v="53"/>
    <x v="15"/>
    <x v="14"/>
    <x v="15"/>
    <x v="50"/>
    <x v="42"/>
    <x v="50"/>
  </r>
  <r>
    <x v="59"/>
    <x v="5"/>
    <x v="1"/>
    <x v="36"/>
    <x v="54"/>
    <x v="17"/>
    <x v="9"/>
    <x v="17"/>
    <x v="51"/>
    <x v="1"/>
    <x v="51"/>
  </r>
  <r>
    <x v="60"/>
    <x v="5"/>
    <x v="1"/>
    <x v="37"/>
    <x v="54"/>
    <x v="17"/>
    <x v="9"/>
    <x v="17"/>
    <x v="52"/>
    <x v="1"/>
    <x v="52"/>
  </r>
  <r>
    <x v="61"/>
    <x v="5"/>
    <x v="0"/>
    <x v="38"/>
    <x v="55"/>
    <x v="8"/>
    <x v="4"/>
    <x v="8"/>
    <x v="53"/>
    <x v="43"/>
    <x v="53"/>
  </r>
  <r>
    <x v="62"/>
    <x v="5"/>
    <x v="0"/>
    <x v="39"/>
    <x v="56"/>
    <x v="8"/>
    <x v="4"/>
    <x v="8"/>
    <x v="54"/>
    <x v="44"/>
    <x v="54"/>
  </r>
  <r>
    <x v="63"/>
    <x v="5"/>
    <x v="0"/>
    <x v="40"/>
    <x v="57"/>
    <x v="15"/>
    <x v="14"/>
    <x v="15"/>
    <x v="55"/>
    <x v="45"/>
    <x v="55"/>
  </r>
  <r>
    <x v="64"/>
    <x v="5"/>
    <x v="0"/>
    <x v="41"/>
    <x v="58"/>
    <x v="5"/>
    <x v="5"/>
    <x v="5"/>
    <x v="56"/>
    <x v="46"/>
    <x v="56"/>
  </r>
  <r>
    <x v="65"/>
    <x v="5"/>
    <x v="0"/>
    <x v="42"/>
    <x v="59"/>
    <x v="15"/>
    <x v="14"/>
    <x v="15"/>
    <x v="57"/>
    <x v="47"/>
    <x v="57"/>
  </r>
  <r>
    <x v="66"/>
    <x v="5"/>
    <x v="0"/>
    <x v="43"/>
    <x v="60"/>
    <x v="18"/>
    <x v="16"/>
    <x v="18"/>
    <x v="58"/>
    <x v="48"/>
    <x v="58"/>
  </r>
  <r>
    <x v="67"/>
    <x v="5"/>
    <x v="1"/>
    <x v="44"/>
    <x v="61"/>
    <x v="2"/>
    <x v="2"/>
    <x v="2"/>
    <x v="59"/>
    <x v="1"/>
    <x v="59"/>
  </r>
  <r>
    <x v="68"/>
    <x v="5"/>
    <x v="0"/>
    <x v="45"/>
    <x v="62"/>
    <x v="15"/>
    <x v="14"/>
    <x v="15"/>
    <x v="60"/>
    <x v="49"/>
    <x v="60"/>
  </r>
  <r>
    <x v="69"/>
    <x v="5"/>
    <x v="1"/>
    <x v="46"/>
    <x v="63"/>
    <x v="18"/>
    <x v="17"/>
    <x v="18"/>
    <x v="61"/>
    <x v="1"/>
    <x v="61"/>
  </r>
  <r>
    <x v="70"/>
    <x v="5"/>
    <x v="0"/>
    <x v="47"/>
    <x v="64"/>
    <x v="2"/>
    <x v="2"/>
    <x v="2"/>
    <x v="62"/>
    <x v="50"/>
    <x v="62"/>
  </r>
  <r>
    <x v="71"/>
    <x v="5"/>
    <x v="1"/>
    <x v="48"/>
    <x v="65"/>
    <x v="15"/>
    <x v="14"/>
    <x v="15"/>
    <x v="63"/>
    <x v="1"/>
    <x v="63"/>
  </r>
  <r>
    <x v="72"/>
    <x v="5"/>
    <x v="0"/>
    <x v="49"/>
    <x v="66"/>
    <x v="15"/>
    <x v="14"/>
    <x v="15"/>
    <x v="64"/>
    <x v="51"/>
    <x v="64"/>
  </r>
  <r>
    <x v="73"/>
    <x v="5"/>
    <x v="0"/>
    <x v="50"/>
    <x v="66"/>
    <x v="19"/>
    <x v="9"/>
    <x v="19"/>
    <x v="65"/>
    <x v="52"/>
    <x v="65"/>
  </r>
  <r>
    <x v="74"/>
    <x v="5"/>
    <x v="0"/>
    <x v="51"/>
    <x v="67"/>
    <x v="15"/>
    <x v="14"/>
    <x v="15"/>
    <x v="66"/>
    <x v="53"/>
    <x v="66"/>
  </r>
  <r>
    <x v="75"/>
    <x v="5"/>
    <x v="0"/>
    <x v="52"/>
    <x v="67"/>
    <x v="19"/>
    <x v="9"/>
    <x v="19"/>
    <x v="67"/>
    <x v="54"/>
    <x v="67"/>
  </r>
  <r>
    <x v="76"/>
    <x v="5"/>
    <x v="0"/>
    <x v="53"/>
    <x v="68"/>
    <x v="15"/>
    <x v="14"/>
    <x v="15"/>
    <x v="64"/>
    <x v="51"/>
    <x v="64"/>
  </r>
  <r>
    <x v="77"/>
    <x v="5"/>
    <x v="0"/>
    <x v="54"/>
    <x v="69"/>
    <x v="15"/>
    <x v="14"/>
    <x v="15"/>
    <x v="68"/>
    <x v="55"/>
    <x v="68"/>
  </r>
  <r>
    <x v="78"/>
    <x v="5"/>
    <x v="0"/>
    <x v="55"/>
    <x v="70"/>
    <x v="15"/>
    <x v="14"/>
    <x v="15"/>
    <x v="69"/>
    <x v="56"/>
    <x v="69"/>
  </r>
  <r>
    <x v="79"/>
    <x v="6"/>
    <x v="0"/>
    <x v="56"/>
    <x v="71"/>
    <x v="15"/>
    <x v="14"/>
    <x v="15"/>
    <x v="70"/>
    <x v="57"/>
    <x v="70"/>
  </r>
  <r>
    <x v="80"/>
    <x v="6"/>
    <x v="0"/>
    <x v="57"/>
    <x v="72"/>
    <x v="19"/>
    <x v="9"/>
    <x v="19"/>
    <x v="71"/>
    <x v="58"/>
    <x v="71"/>
  </r>
  <r>
    <x v="81"/>
    <x v="6"/>
    <x v="0"/>
    <x v="58"/>
    <x v="73"/>
    <x v="15"/>
    <x v="14"/>
    <x v="15"/>
    <x v="72"/>
    <x v="59"/>
    <x v="72"/>
  </r>
  <r>
    <x v="82"/>
    <x v="6"/>
    <x v="0"/>
    <x v="59"/>
    <x v="74"/>
    <x v="15"/>
    <x v="14"/>
    <x v="15"/>
    <x v="73"/>
    <x v="60"/>
    <x v="73"/>
  </r>
  <r>
    <x v="83"/>
    <x v="6"/>
    <x v="0"/>
    <x v="60"/>
    <x v="75"/>
    <x v="15"/>
    <x v="14"/>
    <x v="15"/>
    <x v="74"/>
    <x v="61"/>
    <x v="74"/>
  </r>
  <r>
    <x v="84"/>
    <x v="6"/>
    <x v="0"/>
    <x v="61"/>
    <x v="76"/>
    <x v="20"/>
    <x v="18"/>
    <x v="20"/>
    <x v="75"/>
    <x v="62"/>
    <x v="75"/>
  </r>
  <r>
    <x v="85"/>
    <x v="6"/>
    <x v="0"/>
    <x v="62"/>
    <x v="77"/>
    <x v="15"/>
    <x v="14"/>
    <x v="15"/>
    <x v="76"/>
    <x v="63"/>
    <x v="76"/>
  </r>
  <r>
    <x v="86"/>
    <x v="6"/>
    <x v="0"/>
    <x v="63"/>
    <x v="78"/>
    <x v="19"/>
    <x v="9"/>
    <x v="19"/>
    <x v="77"/>
    <x v="64"/>
    <x v="77"/>
  </r>
  <r>
    <x v="87"/>
    <x v="6"/>
    <x v="0"/>
    <x v="64"/>
    <x v="79"/>
    <x v="21"/>
    <x v="19"/>
    <x v="21"/>
    <x v="78"/>
    <x v="65"/>
    <x v="78"/>
  </r>
  <r>
    <x v="88"/>
    <x v="6"/>
    <x v="0"/>
    <x v="65"/>
    <x v="80"/>
    <x v="19"/>
    <x v="9"/>
    <x v="19"/>
    <x v="79"/>
    <x v="66"/>
    <x v="79"/>
  </r>
  <r>
    <x v="89"/>
    <x v="6"/>
    <x v="0"/>
    <x v="66"/>
    <x v="81"/>
    <x v="22"/>
    <x v="20"/>
    <x v="22"/>
    <x v="80"/>
    <x v="67"/>
    <x v="80"/>
  </r>
  <r>
    <x v="90"/>
    <x v="6"/>
    <x v="0"/>
    <x v="67"/>
    <x v="82"/>
    <x v="19"/>
    <x v="9"/>
    <x v="19"/>
    <x v="81"/>
    <x v="68"/>
    <x v="81"/>
  </r>
  <r>
    <x v="91"/>
    <x v="7"/>
    <x v="1"/>
    <x v="1"/>
    <x v="83"/>
    <x v="21"/>
    <x v="19"/>
    <x v="21"/>
    <x v="82"/>
    <x v="1"/>
    <x v="82"/>
  </r>
  <r>
    <x v="92"/>
    <x v="7"/>
    <x v="0"/>
    <x v="25"/>
    <x v="84"/>
    <x v="22"/>
    <x v="20"/>
    <x v="22"/>
    <x v="83"/>
    <x v="69"/>
    <x v="83"/>
  </r>
  <r>
    <x v="93"/>
    <x v="7"/>
    <x v="0"/>
    <x v="0"/>
    <x v="84"/>
    <x v="23"/>
    <x v="21"/>
    <x v="23"/>
    <x v="84"/>
    <x v="70"/>
    <x v="84"/>
  </r>
  <r>
    <x v="94"/>
    <x v="7"/>
    <x v="0"/>
    <x v="27"/>
    <x v="85"/>
    <x v="23"/>
    <x v="21"/>
    <x v="23"/>
    <x v="85"/>
    <x v="71"/>
    <x v="85"/>
  </r>
  <r>
    <x v="95"/>
    <x v="7"/>
    <x v="0"/>
    <x v="28"/>
    <x v="86"/>
    <x v="23"/>
    <x v="21"/>
    <x v="23"/>
    <x v="86"/>
    <x v="72"/>
    <x v="86"/>
  </r>
  <r>
    <x v="96"/>
    <x v="7"/>
    <x v="0"/>
    <x v="26"/>
    <x v="87"/>
    <x v="23"/>
    <x v="21"/>
    <x v="23"/>
    <x v="87"/>
    <x v="73"/>
    <x v="87"/>
  </r>
  <r>
    <x v="97"/>
    <x v="7"/>
    <x v="1"/>
    <x v="6"/>
    <x v="87"/>
    <x v="24"/>
    <x v="22"/>
    <x v="24"/>
    <x v="88"/>
    <x v="1"/>
    <x v="88"/>
  </r>
  <r>
    <x v="98"/>
    <x v="7"/>
    <x v="0"/>
    <x v="2"/>
    <x v="88"/>
    <x v="15"/>
    <x v="14"/>
    <x v="15"/>
    <x v="89"/>
    <x v="74"/>
    <x v="89"/>
  </r>
  <r>
    <x v="99"/>
    <x v="7"/>
    <x v="1"/>
    <x v="8"/>
    <x v="89"/>
    <x v="25"/>
    <x v="8"/>
    <x v="25"/>
    <x v="90"/>
    <x v="1"/>
    <x v="90"/>
  </r>
  <r>
    <x v="100"/>
    <x v="7"/>
    <x v="0"/>
    <x v="3"/>
    <x v="90"/>
    <x v="15"/>
    <x v="14"/>
    <x v="15"/>
    <x v="91"/>
    <x v="75"/>
    <x v="91"/>
  </r>
  <r>
    <x v="101"/>
    <x v="7"/>
    <x v="0"/>
    <x v="4"/>
    <x v="91"/>
    <x v="23"/>
    <x v="21"/>
    <x v="23"/>
    <x v="87"/>
    <x v="73"/>
    <x v="87"/>
  </r>
  <r>
    <x v="102"/>
    <x v="7"/>
    <x v="0"/>
    <x v="5"/>
    <x v="92"/>
    <x v="15"/>
    <x v="14"/>
    <x v="15"/>
    <x v="92"/>
    <x v="76"/>
    <x v="92"/>
  </r>
  <r>
    <x v="103"/>
    <x v="7"/>
    <x v="0"/>
    <x v="7"/>
    <x v="93"/>
    <x v="26"/>
    <x v="23"/>
    <x v="26"/>
    <x v="93"/>
    <x v="77"/>
    <x v="93"/>
  </r>
  <r>
    <x v="104"/>
    <x v="7"/>
    <x v="0"/>
    <x v="9"/>
    <x v="94"/>
    <x v="23"/>
    <x v="21"/>
    <x v="23"/>
    <x v="87"/>
    <x v="73"/>
    <x v="87"/>
  </r>
  <r>
    <x v="105"/>
    <x v="7"/>
    <x v="1"/>
    <x v="15"/>
    <x v="95"/>
    <x v="27"/>
    <x v="15"/>
    <x v="27"/>
    <x v="94"/>
    <x v="1"/>
    <x v="94"/>
  </r>
  <r>
    <x v="106"/>
    <x v="7"/>
    <x v="0"/>
    <x v="10"/>
    <x v="96"/>
    <x v="24"/>
    <x v="22"/>
    <x v="24"/>
    <x v="95"/>
    <x v="78"/>
    <x v="95"/>
  </r>
  <r>
    <x v="107"/>
    <x v="7"/>
    <x v="0"/>
    <x v="11"/>
    <x v="96"/>
    <x v="15"/>
    <x v="14"/>
    <x v="15"/>
    <x v="96"/>
    <x v="79"/>
    <x v="96"/>
  </r>
  <r>
    <x v="108"/>
    <x v="7"/>
    <x v="0"/>
    <x v="12"/>
    <x v="97"/>
    <x v="19"/>
    <x v="9"/>
    <x v="19"/>
    <x v="97"/>
    <x v="80"/>
    <x v="97"/>
  </r>
  <r>
    <x v="109"/>
    <x v="7"/>
    <x v="0"/>
    <x v="13"/>
    <x v="98"/>
    <x v="23"/>
    <x v="21"/>
    <x v="23"/>
    <x v="98"/>
    <x v="81"/>
    <x v="98"/>
  </r>
  <r>
    <x v="110"/>
    <x v="7"/>
    <x v="0"/>
    <x v="14"/>
    <x v="98"/>
    <x v="15"/>
    <x v="14"/>
    <x v="15"/>
    <x v="99"/>
    <x v="82"/>
    <x v="99"/>
  </r>
  <r>
    <x v="111"/>
    <x v="7"/>
    <x v="0"/>
    <x v="16"/>
    <x v="98"/>
    <x v="15"/>
    <x v="14"/>
    <x v="15"/>
    <x v="100"/>
    <x v="83"/>
    <x v="100"/>
  </r>
  <r>
    <x v="112"/>
    <x v="7"/>
    <x v="1"/>
    <x v="18"/>
    <x v="99"/>
    <x v="24"/>
    <x v="22"/>
    <x v="24"/>
    <x v="88"/>
    <x v="1"/>
    <x v="88"/>
  </r>
  <r>
    <x v="113"/>
    <x v="7"/>
    <x v="0"/>
    <x v="17"/>
    <x v="100"/>
    <x v="15"/>
    <x v="14"/>
    <x v="15"/>
    <x v="101"/>
    <x v="84"/>
    <x v="101"/>
  </r>
  <r>
    <x v="114"/>
    <x v="7"/>
    <x v="0"/>
    <x v="19"/>
    <x v="101"/>
    <x v="10"/>
    <x v="9"/>
    <x v="10"/>
    <x v="102"/>
    <x v="85"/>
    <x v="102"/>
  </r>
  <r>
    <x v="115"/>
    <x v="7"/>
    <x v="0"/>
    <x v="31"/>
    <x v="102"/>
    <x v="28"/>
    <x v="24"/>
    <x v="28"/>
    <x v="103"/>
    <x v="86"/>
    <x v="103"/>
  </r>
  <r>
    <x v="116"/>
    <x v="7"/>
    <x v="0"/>
    <x v="20"/>
    <x v="103"/>
    <x v="23"/>
    <x v="21"/>
    <x v="23"/>
    <x v="87"/>
    <x v="73"/>
    <x v="87"/>
  </r>
  <r>
    <x v="117"/>
    <x v="8"/>
    <x v="0"/>
    <x v="22"/>
    <x v="104"/>
    <x v="10"/>
    <x v="9"/>
    <x v="10"/>
    <x v="104"/>
    <x v="87"/>
    <x v="104"/>
  </r>
  <r>
    <x v="118"/>
    <x v="8"/>
    <x v="0"/>
    <x v="63"/>
    <x v="104"/>
    <x v="10"/>
    <x v="9"/>
    <x v="10"/>
    <x v="105"/>
    <x v="88"/>
    <x v="105"/>
  </r>
  <r>
    <x v="119"/>
    <x v="8"/>
    <x v="0"/>
    <x v="68"/>
    <x v="104"/>
    <x v="24"/>
    <x v="22"/>
    <x v="24"/>
    <x v="106"/>
    <x v="89"/>
    <x v="106"/>
  </r>
  <r>
    <x v="120"/>
    <x v="8"/>
    <x v="0"/>
    <x v="29"/>
    <x v="105"/>
    <x v="28"/>
    <x v="24"/>
    <x v="28"/>
    <x v="107"/>
    <x v="90"/>
    <x v="107"/>
  </r>
  <r>
    <x v="121"/>
    <x v="8"/>
    <x v="0"/>
    <x v="30"/>
    <x v="106"/>
    <x v="28"/>
    <x v="24"/>
    <x v="28"/>
    <x v="108"/>
    <x v="91"/>
    <x v="108"/>
  </r>
  <r>
    <x v="122"/>
    <x v="8"/>
    <x v="0"/>
    <x v="34"/>
    <x v="107"/>
    <x v="10"/>
    <x v="9"/>
    <x v="10"/>
    <x v="109"/>
    <x v="92"/>
    <x v="109"/>
  </r>
  <r>
    <x v="123"/>
    <x v="8"/>
    <x v="0"/>
    <x v="35"/>
    <x v="108"/>
    <x v="10"/>
    <x v="9"/>
    <x v="10"/>
    <x v="110"/>
    <x v="93"/>
    <x v="110"/>
  </r>
  <r>
    <x v="124"/>
    <x v="8"/>
    <x v="0"/>
    <x v="38"/>
    <x v="108"/>
    <x v="29"/>
    <x v="17"/>
    <x v="29"/>
    <x v="111"/>
    <x v="94"/>
    <x v="111"/>
  </r>
  <r>
    <x v="125"/>
    <x v="8"/>
    <x v="0"/>
    <x v="40"/>
    <x v="109"/>
    <x v="10"/>
    <x v="9"/>
    <x v="10"/>
    <x v="112"/>
    <x v="95"/>
    <x v="112"/>
  </r>
  <r>
    <x v="126"/>
    <x v="8"/>
    <x v="0"/>
    <x v="41"/>
    <x v="110"/>
    <x v="10"/>
    <x v="9"/>
    <x v="10"/>
    <x v="113"/>
    <x v="96"/>
    <x v="113"/>
  </r>
  <r>
    <x v="127"/>
    <x v="8"/>
    <x v="0"/>
    <x v="42"/>
    <x v="110"/>
    <x v="10"/>
    <x v="9"/>
    <x v="10"/>
    <x v="114"/>
    <x v="97"/>
    <x v="114"/>
  </r>
  <r>
    <x v="128"/>
    <x v="8"/>
    <x v="0"/>
    <x v="69"/>
    <x v="111"/>
    <x v="15"/>
    <x v="14"/>
    <x v="15"/>
    <x v="115"/>
    <x v="98"/>
    <x v="115"/>
  </r>
  <r>
    <x v="129"/>
    <x v="8"/>
    <x v="0"/>
    <x v="45"/>
    <x v="112"/>
    <x v="29"/>
    <x v="17"/>
    <x v="29"/>
    <x v="116"/>
    <x v="99"/>
    <x v="116"/>
  </r>
  <r>
    <x v="130"/>
    <x v="8"/>
    <x v="0"/>
    <x v="70"/>
    <x v="113"/>
    <x v="29"/>
    <x v="17"/>
    <x v="29"/>
    <x v="117"/>
    <x v="100"/>
    <x v="117"/>
  </r>
  <r>
    <x v="131"/>
    <x v="8"/>
    <x v="0"/>
    <x v="43"/>
    <x v="114"/>
    <x v="15"/>
    <x v="14"/>
    <x v="15"/>
    <x v="118"/>
    <x v="101"/>
    <x v="118"/>
  </r>
  <r>
    <x v="132"/>
    <x v="8"/>
    <x v="0"/>
    <x v="49"/>
    <x v="115"/>
    <x v="29"/>
    <x v="17"/>
    <x v="29"/>
    <x v="119"/>
    <x v="102"/>
    <x v="119"/>
  </r>
  <r>
    <x v="133"/>
    <x v="8"/>
    <x v="0"/>
    <x v="47"/>
    <x v="116"/>
    <x v="29"/>
    <x v="17"/>
    <x v="29"/>
    <x v="120"/>
    <x v="103"/>
    <x v="120"/>
  </r>
  <r>
    <x v="134"/>
    <x v="8"/>
    <x v="0"/>
    <x v="39"/>
    <x v="117"/>
    <x v="10"/>
    <x v="9"/>
    <x v="10"/>
    <x v="121"/>
    <x v="104"/>
    <x v="121"/>
  </r>
  <r>
    <x v="135"/>
    <x v="8"/>
    <x v="0"/>
    <x v="53"/>
    <x v="118"/>
    <x v="30"/>
    <x v="8"/>
    <x v="30"/>
    <x v="122"/>
    <x v="105"/>
    <x v="122"/>
  </r>
  <r>
    <x v="136"/>
    <x v="8"/>
    <x v="0"/>
    <x v="54"/>
    <x v="119"/>
    <x v="31"/>
    <x v="25"/>
    <x v="31"/>
    <x v="123"/>
    <x v="106"/>
    <x v="123"/>
  </r>
  <r>
    <x v="137"/>
    <x v="8"/>
    <x v="0"/>
    <x v="50"/>
    <x v="120"/>
    <x v="15"/>
    <x v="14"/>
    <x v="15"/>
    <x v="124"/>
    <x v="107"/>
    <x v="124"/>
  </r>
  <r>
    <x v="138"/>
    <x v="8"/>
    <x v="0"/>
    <x v="55"/>
    <x v="121"/>
    <x v="10"/>
    <x v="9"/>
    <x v="10"/>
    <x v="125"/>
    <x v="108"/>
    <x v="125"/>
  </r>
  <r>
    <x v="139"/>
    <x v="8"/>
    <x v="0"/>
    <x v="57"/>
    <x v="122"/>
    <x v="10"/>
    <x v="9"/>
    <x v="10"/>
    <x v="126"/>
    <x v="109"/>
    <x v="126"/>
  </r>
  <r>
    <x v="140"/>
    <x v="8"/>
    <x v="0"/>
    <x v="56"/>
    <x v="123"/>
    <x v="30"/>
    <x v="8"/>
    <x v="30"/>
    <x v="127"/>
    <x v="110"/>
    <x v="127"/>
  </r>
  <r>
    <x v="141"/>
    <x v="8"/>
    <x v="0"/>
    <x v="58"/>
    <x v="124"/>
    <x v="23"/>
    <x v="21"/>
    <x v="23"/>
    <x v="128"/>
    <x v="111"/>
    <x v="128"/>
  </r>
  <r>
    <x v="142"/>
    <x v="8"/>
    <x v="0"/>
    <x v="59"/>
    <x v="125"/>
    <x v="15"/>
    <x v="14"/>
    <x v="15"/>
    <x v="129"/>
    <x v="112"/>
    <x v="129"/>
  </r>
  <r>
    <x v="143"/>
    <x v="8"/>
    <x v="0"/>
    <x v="66"/>
    <x v="126"/>
    <x v="10"/>
    <x v="9"/>
    <x v="10"/>
    <x v="130"/>
    <x v="113"/>
    <x v="130"/>
  </r>
  <r>
    <x v="144"/>
    <x v="8"/>
    <x v="0"/>
    <x v="71"/>
    <x v="127"/>
    <x v="29"/>
    <x v="17"/>
    <x v="29"/>
    <x v="131"/>
    <x v="114"/>
    <x v="131"/>
  </r>
  <r>
    <x v="145"/>
    <x v="8"/>
    <x v="0"/>
    <x v="60"/>
    <x v="128"/>
    <x v="23"/>
    <x v="21"/>
    <x v="23"/>
    <x v="132"/>
    <x v="115"/>
    <x v="132"/>
  </r>
  <r>
    <x v="146"/>
    <x v="8"/>
    <x v="0"/>
    <x v="61"/>
    <x v="129"/>
    <x v="10"/>
    <x v="9"/>
    <x v="10"/>
    <x v="133"/>
    <x v="116"/>
    <x v="133"/>
  </r>
  <r>
    <x v="147"/>
    <x v="9"/>
    <x v="0"/>
    <x v="62"/>
    <x v="130"/>
    <x v="10"/>
    <x v="9"/>
    <x v="10"/>
    <x v="134"/>
    <x v="117"/>
    <x v="134"/>
  </r>
  <r>
    <x v="148"/>
    <x v="9"/>
    <x v="0"/>
    <x v="64"/>
    <x v="131"/>
    <x v="15"/>
    <x v="14"/>
    <x v="15"/>
    <x v="135"/>
    <x v="118"/>
    <x v="135"/>
  </r>
  <r>
    <x v="149"/>
    <x v="9"/>
    <x v="0"/>
    <x v="67"/>
    <x v="129"/>
    <x v="10"/>
    <x v="9"/>
    <x v="10"/>
    <x v="136"/>
    <x v="119"/>
    <x v="136"/>
  </r>
  <r>
    <x v="150"/>
    <x v="9"/>
    <x v="0"/>
    <x v="61"/>
    <x v="129"/>
    <x v="10"/>
    <x v="9"/>
    <x v="10"/>
    <x v="133"/>
    <x v="1"/>
    <x v="137"/>
  </r>
  <r>
    <x v="151"/>
    <x v="9"/>
    <x v="0"/>
    <x v="65"/>
    <x v="132"/>
    <x v="27"/>
    <x v="15"/>
    <x v="27"/>
    <x v="94"/>
    <x v="120"/>
    <x v="94"/>
  </r>
  <r>
    <x v="152"/>
    <x v="9"/>
    <x v="0"/>
    <x v="72"/>
    <x v="133"/>
    <x v="23"/>
    <x v="21"/>
    <x v="23"/>
    <x v="137"/>
    <x v="121"/>
    <x v="138"/>
  </r>
  <r>
    <x v="153"/>
    <x v="9"/>
    <x v="0"/>
    <x v="73"/>
    <x v="134"/>
    <x v="23"/>
    <x v="21"/>
    <x v="23"/>
    <x v="137"/>
    <x v="121"/>
    <x v="138"/>
  </r>
  <r>
    <x v="154"/>
    <x v="9"/>
    <x v="0"/>
    <x v="74"/>
    <x v="135"/>
    <x v="10"/>
    <x v="9"/>
    <x v="10"/>
    <x v="138"/>
    <x v="122"/>
    <x v="139"/>
  </r>
  <r>
    <x v="155"/>
    <x v="9"/>
    <x v="0"/>
    <x v="75"/>
    <x v="136"/>
    <x v="23"/>
    <x v="21"/>
    <x v="23"/>
    <x v="137"/>
    <x v="121"/>
    <x v="138"/>
  </r>
  <r>
    <x v="156"/>
    <x v="9"/>
    <x v="0"/>
    <x v="76"/>
    <x v="136"/>
    <x v="31"/>
    <x v="25"/>
    <x v="31"/>
    <x v="139"/>
    <x v="123"/>
    <x v="140"/>
  </r>
  <r>
    <x v="157"/>
    <x v="9"/>
    <x v="0"/>
    <x v="77"/>
    <x v="137"/>
    <x v="10"/>
    <x v="9"/>
    <x v="10"/>
    <x v="140"/>
    <x v="124"/>
    <x v="141"/>
  </r>
  <r>
    <x v="158"/>
    <x v="9"/>
    <x v="0"/>
    <x v="78"/>
    <x v="138"/>
    <x v="23"/>
    <x v="21"/>
    <x v="23"/>
    <x v="137"/>
    <x v="121"/>
    <x v="138"/>
  </r>
  <r>
    <x v="159"/>
    <x v="9"/>
    <x v="0"/>
    <x v="79"/>
    <x v="139"/>
    <x v="10"/>
    <x v="9"/>
    <x v="10"/>
    <x v="141"/>
    <x v="125"/>
    <x v="142"/>
  </r>
  <r>
    <x v="160"/>
    <x v="9"/>
    <x v="0"/>
    <x v="80"/>
    <x v="140"/>
    <x v="10"/>
    <x v="9"/>
    <x v="10"/>
    <x v="142"/>
    <x v="126"/>
    <x v="143"/>
  </r>
  <r>
    <x v="161"/>
    <x v="9"/>
    <x v="0"/>
    <x v="81"/>
    <x v="141"/>
    <x v="23"/>
    <x v="21"/>
    <x v="23"/>
    <x v="143"/>
    <x v="127"/>
    <x v="144"/>
  </r>
  <r>
    <x v="162"/>
    <x v="9"/>
    <x v="0"/>
    <x v="82"/>
    <x v="142"/>
    <x v="10"/>
    <x v="9"/>
    <x v="10"/>
    <x v="144"/>
    <x v="128"/>
    <x v="145"/>
  </r>
  <r>
    <x v="163"/>
    <x v="9"/>
    <x v="0"/>
    <x v="83"/>
    <x v="143"/>
    <x v="10"/>
    <x v="9"/>
    <x v="10"/>
    <x v="145"/>
    <x v="129"/>
    <x v="146"/>
  </r>
  <r>
    <x v="164"/>
    <x v="9"/>
    <x v="0"/>
    <x v="84"/>
    <x v="144"/>
    <x v="31"/>
    <x v="25"/>
    <x v="31"/>
    <x v="146"/>
    <x v="130"/>
    <x v="147"/>
  </r>
  <r>
    <x v="165"/>
    <x v="9"/>
    <x v="0"/>
    <x v="85"/>
    <x v="144"/>
    <x v="32"/>
    <x v="2"/>
    <x v="32"/>
    <x v="137"/>
    <x v="121"/>
    <x v="138"/>
  </r>
  <r>
    <x v="166"/>
    <x v="9"/>
    <x v="0"/>
    <x v="86"/>
    <x v="144"/>
    <x v="10"/>
    <x v="9"/>
    <x v="10"/>
    <x v="147"/>
    <x v="131"/>
    <x v="148"/>
  </r>
  <r>
    <x v="167"/>
    <x v="9"/>
    <x v="0"/>
    <x v="87"/>
    <x v="145"/>
    <x v="10"/>
    <x v="9"/>
    <x v="10"/>
    <x v="148"/>
    <x v="132"/>
    <x v="149"/>
  </r>
  <r>
    <x v="168"/>
    <x v="9"/>
    <x v="0"/>
    <x v="88"/>
    <x v="146"/>
    <x v="26"/>
    <x v="23"/>
    <x v="26"/>
    <x v="149"/>
    <x v="133"/>
    <x v="150"/>
  </r>
  <r>
    <x v="169"/>
    <x v="9"/>
    <x v="0"/>
    <x v="89"/>
    <x v="147"/>
    <x v="33"/>
    <x v="26"/>
    <x v="33"/>
    <x v="150"/>
    <x v="134"/>
    <x v="151"/>
  </r>
  <r>
    <x v="170"/>
    <x v="9"/>
    <x v="0"/>
    <x v="90"/>
    <x v="148"/>
    <x v="34"/>
    <x v="27"/>
    <x v="34"/>
    <x v="151"/>
    <x v="135"/>
    <x v="152"/>
  </r>
  <r>
    <x v="171"/>
    <x v="9"/>
    <x v="0"/>
    <x v="91"/>
    <x v="148"/>
    <x v="10"/>
    <x v="9"/>
    <x v="10"/>
    <x v="152"/>
    <x v="136"/>
    <x v="153"/>
  </r>
  <r>
    <x v="172"/>
    <x v="9"/>
    <x v="0"/>
    <x v="92"/>
    <x v="149"/>
    <x v="10"/>
    <x v="9"/>
    <x v="10"/>
    <x v="153"/>
    <x v="137"/>
    <x v="154"/>
  </r>
  <r>
    <x v="173"/>
    <x v="9"/>
    <x v="0"/>
    <x v="93"/>
    <x v="150"/>
    <x v="35"/>
    <x v="28"/>
    <x v="35"/>
    <x v="154"/>
    <x v="138"/>
    <x v="155"/>
  </r>
  <r>
    <x v="174"/>
    <x v="9"/>
    <x v="0"/>
    <x v="94"/>
    <x v="151"/>
    <x v="34"/>
    <x v="27"/>
    <x v="34"/>
    <x v="155"/>
    <x v="139"/>
    <x v="156"/>
  </r>
  <r>
    <x v="175"/>
    <x v="9"/>
    <x v="1"/>
    <x v="95"/>
    <x v="152"/>
    <x v="11"/>
    <x v="10"/>
    <x v="11"/>
    <x v="156"/>
    <x v="1"/>
    <x v="157"/>
  </r>
  <r>
    <x v="176"/>
    <x v="9"/>
    <x v="0"/>
    <x v="96"/>
    <x v="153"/>
    <x v="10"/>
    <x v="9"/>
    <x v="10"/>
    <x v="157"/>
    <x v="140"/>
    <x v="158"/>
  </r>
  <r>
    <x v="177"/>
    <x v="9"/>
    <x v="0"/>
    <x v="97"/>
    <x v="153"/>
    <x v="36"/>
    <x v="29"/>
    <x v="36"/>
    <x v="158"/>
    <x v="141"/>
    <x v="159"/>
  </r>
  <r>
    <x v="178"/>
    <x v="9"/>
    <x v="0"/>
    <x v="98"/>
    <x v="154"/>
    <x v="15"/>
    <x v="14"/>
    <x v="15"/>
    <x v="159"/>
    <x v="142"/>
    <x v="160"/>
  </r>
  <r>
    <x v="179"/>
    <x v="9"/>
    <x v="0"/>
    <x v="99"/>
    <x v="155"/>
    <x v="37"/>
    <x v="30"/>
    <x v="37"/>
    <x v="160"/>
    <x v="143"/>
    <x v="161"/>
  </r>
  <r>
    <x v="180"/>
    <x v="9"/>
    <x v="1"/>
    <x v="100"/>
    <x v="156"/>
    <x v="11"/>
    <x v="10"/>
    <x v="11"/>
    <x v="21"/>
    <x v="1"/>
    <x v="21"/>
  </r>
  <r>
    <x v="181"/>
    <x v="9"/>
    <x v="0"/>
    <x v="101"/>
    <x v="157"/>
    <x v="10"/>
    <x v="9"/>
    <x v="10"/>
    <x v="161"/>
    <x v="144"/>
    <x v="162"/>
  </r>
  <r>
    <x v="182"/>
    <x v="9"/>
    <x v="1"/>
    <x v="102"/>
    <x v="157"/>
    <x v="37"/>
    <x v="30"/>
    <x v="37"/>
    <x v="162"/>
    <x v="1"/>
    <x v="163"/>
  </r>
  <r>
    <x v="183"/>
    <x v="10"/>
    <x v="0"/>
    <x v="103"/>
    <x v="158"/>
    <x v="37"/>
    <x v="30"/>
    <x v="37"/>
    <x v="160"/>
    <x v="143"/>
    <x v="161"/>
  </r>
  <r>
    <x v="184"/>
    <x v="10"/>
    <x v="0"/>
    <x v="104"/>
    <x v="159"/>
    <x v="11"/>
    <x v="10"/>
    <x v="11"/>
    <x v="156"/>
    <x v="145"/>
    <x v="157"/>
  </r>
  <r>
    <x v="185"/>
    <x v="10"/>
    <x v="0"/>
    <x v="105"/>
    <x v="159"/>
    <x v="11"/>
    <x v="10"/>
    <x v="11"/>
    <x v="21"/>
    <x v="19"/>
    <x v="21"/>
  </r>
  <r>
    <x v="186"/>
    <x v="10"/>
    <x v="0"/>
    <x v="106"/>
    <x v="160"/>
    <x v="15"/>
    <x v="14"/>
    <x v="15"/>
    <x v="163"/>
    <x v="146"/>
    <x v="164"/>
  </r>
  <r>
    <x v="187"/>
    <x v="10"/>
    <x v="0"/>
    <x v="107"/>
    <x v="161"/>
    <x v="37"/>
    <x v="30"/>
    <x v="37"/>
    <x v="164"/>
    <x v="147"/>
    <x v="165"/>
  </r>
  <r>
    <x v="188"/>
    <x v="10"/>
    <x v="1"/>
    <x v="108"/>
    <x v="162"/>
    <x v="37"/>
    <x v="30"/>
    <x v="37"/>
    <x v="162"/>
    <x v="1"/>
    <x v="163"/>
  </r>
  <r>
    <x v="189"/>
    <x v="10"/>
    <x v="0"/>
    <x v="109"/>
    <x v="163"/>
    <x v="15"/>
    <x v="14"/>
    <x v="15"/>
    <x v="165"/>
    <x v="148"/>
    <x v="166"/>
  </r>
  <r>
    <x v="190"/>
    <x v="10"/>
    <x v="1"/>
    <x v="110"/>
    <x v="164"/>
    <x v="31"/>
    <x v="25"/>
    <x v="31"/>
    <x v="166"/>
    <x v="1"/>
    <x v="167"/>
  </r>
  <r>
    <x v="191"/>
    <x v="10"/>
    <x v="0"/>
    <x v="111"/>
    <x v="165"/>
    <x v="34"/>
    <x v="27"/>
    <x v="34"/>
    <x v="167"/>
    <x v="149"/>
    <x v="168"/>
  </r>
  <r>
    <x v="192"/>
    <x v="10"/>
    <x v="0"/>
    <x v="112"/>
    <x v="166"/>
    <x v="31"/>
    <x v="25"/>
    <x v="31"/>
    <x v="166"/>
    <x v="150"/>
    <x v="167"/>
  </r>
  <r>
    <x v="193"/>
    <x v="10"/>
    <x v="0"/>
    <x v="113"/>
    <x v="167"/>
    <x v="15"/>
    <x v="14"/>
    <x v="15"/>
    <x v="168"/>
    <x v="151"/>
    <x v="169"/>
  </r>
  <r>
    <x v="194"/>
    <x v="10"/>
    <x v="1"/>
    <x v="114"/>
    <x v="168"/>
    <x v="37"/>
    <x v="30"/>
    <x v="37"/>
    <x v="169"/>
    <x v="1"/>
    <x v="170"/>
  </r>
  <r>
    <x v="195"/>
    <x v="10"/>
    <x v="1"/>
    <x v="115"/>
    <x v="169"/>
    <x v="5"/>
    <x v="5"/>
    <x v="5"/>
    <x v="45"/>
    <x v="1"/>
    <x v="45"/>
  </r>
  <r>
    <x v="196"/>
    <x v="10"/>
    <x v="0"/>
    <x v="116"/>
    <x v="170"/>
    <x v="11"/>
    <x v="10"/>
    <x v="11"/>
    <x v="170"/>
    <x v="152"/>
    <x v="171"/>
  </r>
  <r>
    <x v="197"/>
    <x v="10"/>
    <x v="1"/>
    <x v="117"/>
    <x v="171"/>
    <x v="5"/>
    <x v="5"/>
    <x v="5"/>
    <x v="45"/>
    <x v="1"/>
    <x v="45"/>
  </r>
  <r>
    <x v="198"/>
    <x v="10"/>
    <x v="0"/>
    <x v="118"/>
    <x v="172"/>
    <x v="5"/>
    <x v="5"/>
    <x v="5"/>
    <x v="160"/>
    <x v="143"/>
    <x v="161"/>
  </r>
  <r>
    <x v="199"/>
    <x v="10"/>
    <x v="0"/>
    <x v="119"/>
    <x v="173"/>
    <x v="11"/>
    <x v="10"/>
    <x v="11"/>
    <x v="171"/>
    <x v="153"/>
    <x v="172"/>
  </r>
  <r>
    <x v="200"/>
    <x v="10"/>
    <x v="1"/>
    <x v="120"/>
    <x v="174"/>
    <x v="10"/>
    <x v="9"/>
    <x v="10"/>
    <x v="172"/>
    <x v="1"/>
    <x v="173"/>
  </r>
  <r>
    <x v="201"/>
    <x v="10"/>
    <x v="0"/>
    <x v="121"/>
    <x v="175"/>
    <x v="10"/>
    <x v="9"/>
    <x v="10"/>
    <x v="173"/>
    <x v="154"/>
    <x v="174"/>
  </r>
  <r>
    <x v="202"/>
    <x v="10"/>
    <x v="0"/>
    <x v="122"/>
    <x v="176"/>
    <x v="15"/>
    <x v="14"/>
    <x v="15"/>
    <x v="174"/>
    <x v="155"/>
    <x v="175"/>
  </r>
  <r>
    <x v="203"/>
    <x v="10"/>
    <x v="1"/>
    <x v="123"/>
    <x v="177"/>
    <x v="15"/>
    <x v="14"/>
    <x v="15"/>
    <x v="175"/>
    <x v="1"/>
    <x v="176"/>
  </r>
  <r>
    <x v="204"/>
    <x v="10"/>
    <x v="0"/>
    <x v="124"/>
    <x v="178"/>
    <x v="10"/>
    <x v="9"/>
    <x v="10"/>
    <x v="176"/>
    <x v="156"/>
    <x v="177"/>
  </r>
  <r>
    <x v="205"/>
    <x v="10"/>
    <x v="1"/>
    <x v="125"/>
    <x v="178"/>
    <x v="10"/>
    <x v="9"/>
    <x v="10"/>
    <x v="177"/>
    <x v="1"/>
    <x v="178"/>
  </r>
  <r>
    <x v="206"/>
    <x v="10"/>
    <x v="0"/>
    <x v="126"/>
    <x v="179"/>
    <x v="37"/>
    <x v="30"/>
    <x v="37"/>
    <x v="178"/>
    <x v="157"/>
    <x v="179"/>
  </r>
  <r>
    <x v="207"/>
    <x v="10"/>
    <x v="0"/>
    <x v="127"/>
    <x v="180"/>
    <x v="11"/>
    <x v="10"/>
    <x v="11"/>
    <x v="179"/>
    <x v="158"/>
    <x v="180"/>
  </r>
  <r>
    <x v="208"/>
    <x v="10"/>
    <x v="0"/>
    <x v="128"/>
    <x v="181"/>
    <x v="10"/>
    <x v="9"/>
    <x v="10"/>
    <x v="180"/>
    <x v="159"/>
    <x v="181"/>
  </r>
  <r>
    <x v="209"/>
    <x v="10"/>
    <x v="1"/>
    <x v="129"/>
    <x v="182"/>
    <x v="10"/>
    <x v="9"/>
    <x v="10"/>
    <x v="181"/>
    <x v="1"/>
    <x v="182"/>
  </r>
  <r>
    <x v="210"/>
    <x v="10"/>
    <x v="1"/>
    <x v="130"/>
    <x v="183"/>
    <x v="38"/>
    <x v="15"/>
    <x v="38"/>
    <x v="182"/>
    <x v="1"/>
    <x v="183"/>
  </r>
  <r>
    <x v="211"/>
    <x v="10"/>
    <x v="0"/>
    <x v="131"/>
    <x v="184"/>
    <x v="11"/>
    <x v="10"/>
    <x v="11"/>
    <x v="183"/>
    <x v="160"/>
    <x v="184"/>
  </r>
  <r>
    <x v="212"/>
    <x v="10"/>
    <x v="0"/>
    <x v="132"/>
    <x v="185"/>
    <x v="10"/>
    <x v="9"/>
    <x v="10"/>
    <x v="184"/>
    <x v="161"/>
    <x v="185"/>
  </r>
  <r>
    <x v="213"/>
    <x v="10"/>
    <x v="0"/>
    <x v="133"/>
    <x v="185"/>
    <x v="34"/>
    <x v="27"/>
    <x v="34"/>
    <x v="185"/>
    <x v="162"/>
    <x v="186"/>
  </r>
  <r>
    <x v="214"/>
    <x v="10"/>
    <x v="1"/>
    <x v="134"/>
    <x v="185"/>
    <x v="38"/>
    <x v="15"/>
    <x v="38"/>
    <x v="186"/>
    <x v="1"/>
    <x v="187"/>
  </r>
  <r>
    <x v="215"/>
    <x v="10"/>
    <x v="1"/>
    <x v="135"/>
    <x v="186"/>
    <x v="10"/>
    <x v="9"/>
    <x v="10"/>
    <x v="187"/>
    <x v="1"/>
    <x v="188"/>
  </r>
  <r>
    <x v="216"/>
    <x v="10"/>
    <x v="0"/>
    <x v="136"/>
    <x v="187"/>
    <x v="38"/>
    <x v="15"/>
    <x v="38"/>
    <x v="182"/>
    <x v="163"/>
    <x v="183"/>
  </r>
  <r>
    <x v="217"/>
    <x v="10"/>
    <x v="0"/>
    <x v="137"/>
    <x v="187"/>
    <x v="38"/>
    <x v="15"/>
    <x v="38"/>
    <x v="186"/>
    <x v="164"/>
    <x v="187"/>
  </r>
  <r>
    <x v="218"/>
    <x v="10"/>
    <x v="0"/>
    <x v="138"/>
    <x v="188"/>
    <x v="10"/>
    <x v="9"/>
    <x v="10"/>
    <x v="188"/>
    <x v="165"/>
    <x v="189"/>
  </r>
  <r>
    <x v="219"/>
    <x v="10"/>
    <x v="1"/>
    <x v="139"/>
    <x v="189"/>
    <x v="10"/>
    <x v="9"/>
    <x v="10"/>
    <x v="187"/>
    <x v="1"/>
    <x v="188"/>
  </r>
  <r>
    <x v="220"/>
    <x v="10"/>
    <x v="0"/>
    <x v="140"/>
    <x v="190"/>
    <x v="11"/>
    <x v="10"/>
    <x v="11"/>
    <x v="189"/>
    <x v="166"/>
    <x v="190"/>
  </r>
  <r>
    <x v="221"/>
    <x v="11"/>
    <x v="1"/>
    <x v="13"/>
    <x v="191"/>
    <x v="38"/>
    <x v="15"/>
    <x v="38"/>
    <x v="190"/>
    <x v="1"/>
    <x v="191"/>
  </r>
  <r>
    <x v="222"/>
    <x v="11"/>
    <x v="0"/>
    <x v="25"/>
    <x v="192"/>
    <x v="38"/>
    <x v="15"/>
    <x v="38"/>
    <x v="190"/>
    <x v="167"/>
    <x v="191"/>
  </r>
  <r>
    <x v="223"/>
    <x v="11"/>
    <x v="1"/>
    <x v="14"/>
    <x v="193"/>
    <x v="39"/>
    <x v="31"/>
    <x v="39"/>
    <x v="191"/>
    <x v="1"/>
    <x v="192"/>
  </r>
  <r>
    <x v="224"/>
    <x v="11"/>
    <x v="0"/>
    <x v="0"/>
    <x v="194"/>
    <x v="39"/>
    <x v="31"/>
    <x v="39"/>
    <x v="191"/>
    <x v="168"/>
    <x v="192"/>
  </r>
  <r>
    <x v="225"/>
    <x v="11"/>
    <x v="1"/>
    <x v="16"/>
    <x v="195"/>
    <x v="40"/>
    <x v="32"/>
    <x v="40"/>
    <x v="192"/>
    <x v="1"/>
    <x v="193"/>
  </r>
  <r>
    <x v="226"/>
    <x v="11"/>
    <x v="0"/>
    <x v="27"/>
    <x v="196"/>
    <x v="40"/>
    <x v="32"/>
    <x v="40"/>
    <x v="193"/>
    <x v="169"/>
    <x v="194"/>
  </r>
  <r>
    <x v="227"/>
    <x v="11"/>
    <x v="1"/>
    <x v="17"/>
    <x v="197"/>
    <x v="30"/>
    <x v="8"/>
    <x v="30"/>
    <x v="194"/>
    <x v="1"/>
    <x v="195"/>
  </r>
  <r>
    <x v="228"/>
    <x v="11"/>
    <x v="1"/>
    <x v="19"/>
    <x v="197"/>
    <x v="41"/>
    <x v="15"/>
    <x v="41"/>
    <x v="190"/>
    <x v="1"/>
    <x v="191"/>
  </r>
  <r>
    <x v="229"/>
    <x v="11"/>
    <x v="0"/>
    <x v="28"/>
    <x v="198"/>
    <x v="30"/>
    <x v="8"/>
    <x v="30"/>
    <x v="195"/>
    <x v="170"/>
    <x v="196"/>
  </r>
  <r>
    <x v="230"/>
    <x v="11"/>
    <x v="1"/>
    <x v="20"/>
    <x v="199"/>
    <x v="10"/>
    <x v="9"/>
    <x v="10"/>
    <x v="196"/>
    <x v="1"/>
    <x v="197"/>
  </r>
  <r>
    <x v="231"/>
    <x v="11"/>
    <x v="0"/>
    <x v="26"/>
    <x v="200"/>
    <x v="41"/>
    <x v="15"/>
    <x v="41"/>
    <x v="197"/>
    <x v="171"/>
    <x v="198"/>
  </r>
  <r>
    <x v="232"/>
    <x v="11"/>
    <x v="0"/>
    <x v="2"/>
    <x v="201"/>
    <x v="10"/>
    <x v="9"/>
    <x v="10"/>
    <x v="198"/>
    <x v="172"/>
    <x v="199"/>
  </r>
  <r>
    <x v="233"/>
    <x v="11"/>
    <x v="1"/>
    <x v="31"/>
    <x v="202"/>
    <x v="10"/>
    <x v="9"/>
    <x v="10"/>
    <x v="199"/>
    <x v="1"/>
    <x v="200"/>
  </r>
  <r>
    <x v="234"/>
    <x v="11"/>
    <x v="1"/>
    <x v="22"/>
    <x v="203"/>
    <x v="41"/>
    <x v="15"/>
    <x v="41"/>
    <x v="200"/>
    <x v="1"/>
    <x v="201"/>
  </r>
  <r>
    <x v="235"/>
    <x v="11"/>
    <x v="0"/>
    <x v="3"/>
    <x v="204"/>
    <x v="42"/>
    <x v="33"/>
    <x v="42"/>
    <x v="201"/>
    <x v="173"/>
    <x v="202"/>
  </r>
  <r>
    <x v="236"/>
    <x v="11"/>
    <x v="0"/>
    <x v="4"/>
    <x v="204"/>
    <x v="42"/>
    <x v="33"/>
    <x v="42"/>
    <x v="93"/>
    <x v="77"/>
    <x v="93"/>
  </r>
  <r>
    <x v="237"/>
    <x v="11"/>
    <x v="0"/>
    <x v="5"/>
    <x v="205"/>
    <x v="43"/>
    <x v="34"/>
    <x v="43"/>
    <x v="202"/>
    <x v="174"/>
    <x v="203"/>
  </r>
  <r>
    <x v="238"/>
    <x v="11"/>
    <x v="0"/>
    <x v="7"/>
    <x v="206"/>
    <x v="10"/>
    <x v="9"/>
    <x v="10"/>
    <x v="203"/>
    <x v="175"/>
    <x v="204"/>
  </r>
  <r>
    <x v="239"/>
    <x v="12"/>
    <x v="0"/>
    <x v="9"/>
    <x v="207"/>
    <x v="41"/>
    <x v="15"/>
    <x v="41"/>
    <x v="200"/>
    <x v="176"/>
    <x v="201"/>
  </r>
  <r>
    <x v="240"/>
    <x v="12"/>
    <x v="1"/>
    <x v="1"/>
    <x v="208"/>
    <x v="30"/>
    <x v="8"/>
    <x v="30"/>
    <x v="196"/>
    <x v="1"/>
    <x v="197"/>
  </r>
  <r>
    <x v="241"/>
    <x v="12"/>
    <x v="0"/>
    <x v="10"/>
    <x v="209"/>
    <x v="30"/>
    <x v="8"/>
    <x v="30"/>
    <x v="204"/>
    <x v="177"/>
    <x v="205"/>
  </r>
  <r>
    <x v="242"/>
    <x v="12"/>
    <x v="1"/>
    <x v="6"/>
    <x v="210"/>
    <x v="44"/>
    <x v="8"/>
    <x v="44"/>
    <x v="205"/>
    <x v="1"/>
    <x v="206"/>
  </r>
  <r>
    <x v="243"/>
    <x v="12"/>
    <x v="1"/>
    <x v="8"/>
    <x v="210"/>
    <x v="44"/>
    <x v="8"/>
    <x v="44"/>
    <x v="206"/>
    <x v="1"/>
    <x v="207"/>
  </r>
  <r>
    <x v="244"/>
    <x v="12"/>
    <x v="0"/>
    <x v="11"/>
    <x v="211"/>
    <x v="44"/>
    <x v="8"/>
    <x v="44"/>
    <x v="207"/>
    <x v="178"/>
    <x v="208"/>
  </r>
  <r>
    <x v="245"/>
    <x v="12"/>
    <x v="1"/>
    <x v="15"/>
    <x v="211"/>
    <x v="44"/>
    <x v="8"/>
    <x v="44"/>
    <x v="158"/>
    <x v="1"/>
    <x v="159"/>
  </r>
  <r>
    <x v="246"/>
    <x v="12"/>
    <x v="1"/>
    <x v="18"/>
    <x v="211"/>
    <x v="44"/>
    <x v="8"/>
    <x v="44"/>
    <x v="208"/>
    <x v="1"/>
    <x v="209"/>
  </r>
  <r>
    <x v="247"/>
    <x v="12"/>
    <x v="0"/>
    <x v="12"/>
    <x v="212"/>
    <x v="44"/>
    <x v="8"/>
    <x v="44"/>
    <x v="209"/>
    <x v="179"/>
    <x v="210"/>
  </r>
  <r>
    <x v="248"/>
    <x v="12"/>
    <x v="1"/>
    <x v="21"/>
    <x v="213"/>
    <x v="43"/>
    <x v="34"/>
    <x v="43"/>
    <x v="210"/>
    <x v="1"/>
    <x v="211"/>
  </r>
  <r>
    <x v="249"/>
    <x v="12"/>
    <x v="1"/>
    <x v="23"/>
    <x v="214"/>
    <x v="45"/>
    <x v="35"/>
    <x v="45"/>
    <x v="211"/>
    <x v="1"/>
    <x v="212"/>
  </r>
  <r>
    <x v="250"/>
    <x v="12"/>
    <x v="1"/>
    <x v="24"/>
    <x v="215"/>
    <x v="43"/>
    <x v="34"/>
    <x v="43"/>
    <x v="212"/>
    <x v="1"/>
    <x v="213"/>
  </r>
  <r>
    <x v="251"/>
    <x v="12"/>
    <x v="1"/>
    <x v="33"/>
    <x v="216"/>
    <x v="30"/>
    <x v="8"/>
    <x v="30"/>
    <x v="213"/>
    <x v="1"/>
    <x v="214"/>
  </r>
  <r>
    <x v="252"/>
    <x v="12"/>
    <x v="0"/>
    <x v="29"/>
    <x v="217"/>
    <x v="43"/>
    <x v="34"/>
    <x v="43"/>
    <x v="214"/>
    <x v="180"/>
    <x v="215"/>
  </r>
  <r>
    <x v="253"/>
    <x v="12"/>
    <x v="0"/>
    <x v="30"/>
    <x v="217"/>
    <x v="43"/>
    <x v="34"/>
    <x v="43"/>
    <x v="215"/>
    <x v="181"/>
    <x v="216"/>
  </r>
  <r>
    <x v="254"/>
    <x v="12"/>
    <x v="0"/>
    <x v="40"/>
    <x v="218"/>
    <x v="45"/>
    <x v="35"/>
    <x v="45"/>
    <x v="211"/>
    <x v="182"/>
    <x v="212"/>
  </r>
  <r>
    <x v="255"/>
    <x v="12"/>
    <x v="0"/>
    <x v="34"/>
    <x v="219"/>
    <x v="30"/>
    <x v="8"/>
    <x v="30"/>
    <x v="216"/>
    <x v="183"/>
    <x v="217"/>
  </r>
  <r>
    <x v="256"/>
    <x v="12"/>
    <x v="0"/>
    <x v="35"/>
    <x v="220"/>
    <x v="43"/>
    <x v="34"/>
    <x v="43"/>
    <x v="217"/>
    <x v="184"/>
    <x v="218"/>
  </r>
  <r>
    <x v="257"/>
    <x v="12"/>
    <x v="1"/>
    <x v="36"/>
    <x v="221"/>
    <x v="43"/>
    <x v="34"/>
    <x v="43"/>
    <x v="218"/>
    <x v="1"/>
    <x v="219"/>
  </r>
  <r>
    <x v="258"/>
    <x v="12"/>
    <x v="0"/>
    <x v="38"/>
    <x v="222"/>
    <x v="43"/>
    <x v="34"/>
    <x v="43"/>
    <x v="219"/>
    <x v="185"/>
    <x v="220"/>
  </r>
  <r>
    <x v="259"/>
    <x v="12"/>
    <x v="1"/>
    <x v="37"/>
    <x v="223"/>
    <x v="30"/>
    <x v="8"/>
    <x v="30"/>
    <x v="21"/>
    <x v="1"/>
    <x v="21"/>
  </r>
  <r>
    <x v="260"/>
    <x v="12"/>
    <x v="1"/>
    <x v="141"/>
    <x v="223"/>
    <x v="46"/>
    <x v="36"/>
    <x v="46"/>
    <x v="220"/>
    <x v="1"/>
    <x v="221"/>
  </r>
  <r>
    <x v="261"/>
    <x v="12"/>
    <x v="0"/>
    <x v="41"/>
    <x v="224"/>
    <x v="46"/>
    <x v="36"/>
    <x v="46"/>
    <x v="221"/>
    <x v="186"/>
    <x v="222"/>
  </r>
  <r>
    <x v="262"/>
    <x v="12"/>
    <x v="1"/>
    <x v="44"/>
    <x v="225"/>
    <x v="42"/>
    <x v="33"/>
    <x v="42"/>
    <x v="162"/>
    <x v="1"/>
    <x v="163"/>
  </r>
  <r>
    <x v="263"/>
    <x v="12"/>
    <x v="0"/>
    <x v="42"/>
    <x v="226"/>
    <x v="42"/>
    <x v="33"/>
    <x v="42"/>
    <x v="222"/>
    <x v="187"/>
    <x v="223"/>
  </r>
  <r>
    <x v="264"/>
    <x v="12"/>
    <x v="1"/>
    <x v="46"/>
    <x v="227"/>
    <x v="10"/>
    <x v="9"/>
    <x v="10"/>
    <x v="223"/>
    <x v="1"/>
    <x v="224"/>
  </r>
  <r>
    <x v="265"/>
    <x v="12"/>
    <x v="0"/>
    <x v="69"/>
    <x v="228"/>
    <x v="30"/>
    <x v="8"/>
    <x v="30"/>
    <x v="224"/>
    <x v="188"/>
    <x v="225"/>
  </r>
  <r>
    <x v="266"/>
    <x v="12"/>
    <x v="1"/>
    <x v="48"/>
    <x v="228"/>
    <x v="43"/>
    <x v="34"/>
    <x v="43"/>
    <x v="191"/>
    <x v="1"/>
    <x v="192"/>
  </r>
  <r>
    <x v="267"/>
    <x v="12"/>
    <x v="1"/>
    <x v="142"/>
    <x v="229"/>
    <x v="10"/>
    <x v="9"/>
    <x v="10"/>
    <x v="225"/>
    <x v="1"/>
    <x v="226"/>
  </r>
  <r>
    <x v="268"/>
    <x v="12"/>
    <x v="0"/>
    <x v="70"/>
    <x v="230"/>
    <x v="10"/>
    <x v="9"/>
    <x v="10"/>
    <x v="226"/>
    <x v="189"/>
    <x v="227"/>
  </r>
  <r>
    <x v="269"/>
    <x v="12"/>
    <x v="1"/>
    <x v="143"/>
    <x v="231"/>
    <x v="46"/>
    <x v="36"/>
    <x v="46"/>
    <x v="227"/>
    <x v="1"/>
    <x v="228"/>
  </r>
  <r>
    <x v="270"/>
    <x v="12"/>
    <x v="1"/>
    <x v="95"/>
    <x v="232"/>
    <x v="46"/>
    <x v="36"/>
    <x v="46"/>
    <x v="59"/>
    <x v="1"/>
    <x v="59"/>
  </r>
  <r>
    <x v="271"/>
    <x v="12"/>
    <x v="0"/>
    <x v="45"/>
    <x v="233"/>
    <x v="46"/>
    <x v="36"/>
    <x v="46"/>
    <x v="228"/>
    <x v="190"/>
    <x v="229"/>
  </r>
  <r>
    <x v="272"/>
    <x v="12"/>
    <x v="1"/>
    <x v="100"/>
    <x v="234"/>
    <x v="42"/>
    <x v="33"/>
    <x v="42"/>
    <x v="191"/>
    <x v="1"/>
    <x v="192"/>
  </r>
  <r>
    <x v="273"/>
    <x v="12"/>
    <x v="1"/>
    <x v="102"/>
    <x v="235"/>
    <x v="43"/>
    <x v="34"/>
    <x v="43"/>
    <x v="223"/>
    <x v="1"/>
    <x v="224"/>
  </r>
  <r>
    <x v="274"/>
    <x v="12"/>
    <x v="1"/>
    <x v="108"/>
    <x v="236"/>
    <x v="43"/>
    <x v="34"/>
    <x v="43"/>
    <x v="225"/>
    <x v="1"/>
    <x v="226"/>
  </r>
  <r>
    <x v="275"/>
    <x v="12"/>
    <x v="0"/>
    <x v="49"/>
    <x v="237"/>
    <x v="43"/>
    <x v="34"/>
    <x v="43"/>
    <x v="229"/>
    <x v="191"/>
    <x v="230"/>
  </r>
  <r>
    <x v="276"/>
    <x v="12"/>
    <x v="0"/>
    <x v="43"/>
    <x v="238"/>
    <x v="41"/>
    <x v="15"/>
    <x v="41"/>
    <x v="230"/>
    <x v="192"/>
    <x v="231"/>
  </r>
  <r>
    <x v="277"/>
    <x v="12"/>
    <x v="0"/>
    <x v="39"/>
    <x v="239"/>
    <x v="42"/>
    <x v="33"/>
    <x v="42"/>
    <x v="231"/>
    <x v="193"/>
    <x v="232"/>
  </r>
  <r>
    <x v="278"/>
    <x v="13"/>
    <x v="2"/>
    <x v="21"/>
    <x v="236"/>
    <x v="16"/>
    <x v="15"/>
    <x v="16"/>
    <x v="232"/>
    <x v="1"/>
    <x v="233"/>
  </r>
  <r>
    <x v="279"/>
    <x v="13"/>
    <x v="0"/>
    <x v="80"/>
    <x v="240"/>
    <x v="46"/>
    <x v="36"/>
    <x v="46"/>
    <x v="233"/>
    <x v="194"/>
    <x v="234"/>
  </r>
  <r>
    <x v="280"/>
    <x v="13"/>
    <x v="1"/>
    <x v="110"/>
    <x v="240"/>
    <x v="30"/>
    <x v="8"/>
    <x v="30"/>
    <x v="234"/>
    <x v="1"/>
    <x v="235"/>
  </r>
  <r>
    <x v="281"/>
    <x v="13"/>
    <x v="1"/>
    <x v="114"/>
    <x v="240"/>
    <x v="41"/>
    <x v="15"/>
    <x v="41"/>
    <x v="235"/>
    <x v="1"/>
    <x v="236"/>
  </r>
  <r>
    <x v="282"/>
    <x v="13"/>
    <x v="0"/>
    <x v="51"/>
    <x v="241"/>
    <x v="30"/>
    <x v="8"/>
    <x v="30"/>
    <x v="236"/>
    <x v="195"/>
    <x v="237"/>
  </r>
  <r>
    <x v="283"/>
    <x v="13"/>
    <x v="0"/>
    <x v="62"/>
    <x v="242"/>
    <x v="43"/>
    <x v="34"/>
    <x v="43"/>
    <x v="237"/>
    <x v="196"/>
    <x v="238"/>
  </r>
  <r>
    <x v="284"/>
    <x v="13"/>
    <x v="1"/>
    <x v="115"/>
    <x v="242"/>
    <x v="43"/>
    <x v="34"/>
    <x v="43"/>
    <x v="238"/>
    <x v="1"/>
    <x v="239"/>
  </r>
  <r>
    <x v="285"/>
    <x v="13"/>
    <x v="1"/>
    <x v="117"/>
    <x v="242"/>
    <x v="30"/>
    <x v="8"/>
    <x v="30"/>
    <x v="239"/>
    <x v="1"/>
    <x v="240"/>
  </r>
  <r>
    <x v="286"/>
    <x v="13"/>
    <x v="1"/>
    <x v="120"/>
    <x v="242"/>
    <x v="42"/>
    <x v="33"/>
    <x v="42"/>
    <x v="240"/>
    <x v="1"/>
    <x v="241"/>
  </r>
  <r>
    <x v="287"/>
    <x v="13"/>
    <x v="0"/>
    <x v="52"/>
    <x v="243"/>
    <x v="41"/>
    <x v="15"/>
    <x v="41"/>
    <x v="241"/>
    <x v="197"/>
    <x v="242"/>
  </r>
  <r>
    <x v="288"/>
    <x v="13"/>
    <x v="1"/>
    <x v="123"/>
    <x v="243"/>
    <x v="43"/>
    <x v="34"/>
    <x v="43"/>
    <x v="242"/>
    <x v="1"/>
    <x v="243"/>
  </r>
  <r>
    <x v="289"/>
    <x v="13"/>
    <x v="0"/>
    <x v="53"/>
    <x v="244"/>
    <x v="30"/>
    <x v="8"/>
    <x v="30"/>
    <x v="243"/>
    <x v="198"/>
    <x v="244"/>
  </r>
  <r>
    <x v="290"/>
    <x v="13"/>
    <x v="0"/>
    <x v="54"/>
    <x v="245"/>
    <x v="41"/>
    <x v="15"/>
    <x v="41"/>
    <x v="244"/>
    <x v="199"/>
    <x v="245"/>
  </r>
  <r>
    <x v="291"/>
    <x v="13"/>
    <x v="1"/>
    <x v="125"/>
    <x v="245"/>
    <x v="43"/>
    <x v="34"/>
    <x v="43"/>
    <x v="240"/>
    <x v="1"/>
    <x v="241"/>
  </r>
  <r>
    <x v="292"/>
    <x v="13"/>
    <x v="0"/>
    <x v="50"/>
    <x v="246"/>
    <x v="42"/>
    <x v="33"/>
    <x v="42"/>
    <x v="245"/>
    <x v="200"/>
    <x v="246"/>
  </r>
  <r>
    <x v="293"/>
    <x v="13"/>
    <x v="1"/>
    <x v="129"/>
    <x v="247"/>
    <x v="41"/>
    <x v="15"/>
    <x v="41"/>
    <x v="246"/>
    <x v="1"/>
    <x v="247"/>
  </r>
  <r>
    <x v="294"/>
    <x v="13"/>
    <x v="0"/>
    <x v="55"/>
    <x v="248"/>
    <x v="42"/>
    <x v="33"/>
    <x v="42"/>
    <x v="93"/>
    <x v="77"/>
    <x v="93"/>
  </r>
  <r>
    <x v="295"/>
    <x v="13"/>
    <x v="0"/>
    <x v="56"/>
    <x v="249"/>
    <x v="43"/>
    <x v="34"/>
    <x v="43"/>
    <x v="247"/>
    <x v="201"/>
    <x v="248"/>
  </r>
  <r>
    <x v="296"/>
    <x v="13"/>
    <x v="1"/>
    <x v="130"/>
    <x v="250"/>
    <x v="30"/>
    <x v="8"/>
    <x v="30"/>
    <x v="248"/>
    <x v="1"/>
    <x v="249"/>
  </r>
  <r>
    <x v="297"/>
    <x v="13"/>
    <x v="0"/>
    <x v="58"/>
    <x v="251"/>
    <x v="41"/>
    <x v="15"/>
    <x v="41"/>
    <x v="249"/>
    <x v="202"/>
    <x v="250"/>
  </r>
  <r>
    <x v="298"/>
    <x v="13"/>
    <x v="1"/>
    <x v="134"/>
    <x v="251"/>
    <x v="11"/>
    <x v="10"/>
    <x v="11"/>
    <x v="242"/>
    <x v="1"/>
    <x v="243"/>
  </r>
  <r>
    <x v="299"/>
    <x v="13"/>
    <x v="0"/>
    <x v="59"/>
    <x v="252"/>
    <x v="30"/>
    <x v="8"/>
    <x v="30"/>
    <x v="250"/>
    <x v="203"/>
    <x v="251"/>
  </r>
  <r>
    <x v="300"/>
    <x v="13"/>
    <x v="1"/>
    <x v="135"/>
    <x v="253"/>
    <x v="30"/>
    <x v="8"/>
    <x v="30"/>
    <x v="251"/>
    <x v="1"/>
    <x v="252"/>
  </r>
  <r>
    <x v="301"/>
    <x v="13"/>
    <x v="0"/>
    <x v="60"/>
    <x v="254"/>
    <x v="30"/>
    <x v="8"/>
    <x v="30"/>
    <x v="252"/>
    <x v="204"/>
    <x v="253"/>
  </r>
  <r>
    <x v="302"/>
    <x v="13"/>
    <x v="1"/>
    <x v="139"/>
    <x v="254"/>
    <x v="42"/>
    <x v="33"/>
    <x v="42"/>
    <x v="240"/>
    <x v="1"/>
    <x v="241"/>
  </r>
  <r>
    <x v="303"/>
    <x v="13"/>
    <x v="0"/>
    <x v="64"/>
    <x v="255"/>
    <x v="43"/>
    <x v="34"/>
    <x v="43"/>
    <x v="247"/>
    <x v="201"/>
    <x v="248"/>
  </r>
  <r>
    <x v="304"/>
    <x v="13"/>
    <x v="0"/>
    <x v="66"/>
    <x v="256"/>
    <x v="41"/>
    <x v="15"/>
    <x v="41"/>
    <x v="253"/>
    <x v="205"/>
    <x v="254"/>
  </r>
  <r>
    <x v="305"/>
    <x v="13"/>
    <x v="0"/>
    <x v="67"/>
    <x v="257"/>
    <x v="30"/>
    <x v="8"/>
    <x v="30"/>
    <x v="254"/>
    <x v="206"/>
    <x v="255"/>
  </r>
  <r>
    <x v="306"/>
    <x v="13"/>
    <x v="1"/>
    <x v="144"/>
    <x v="258"/>
    <x v="30"/>
    <x v="8"/>
    <x v="30"/>
    <x v="255"/>
    <x v="1"/>
    <x v="256"/>
  </r>
  <r>
    <x v="307"/>
    <x v="13"/>
    <x v="1"/>
    <x v="145"/>
    <x v="259"/>
    <x v="30"/>
    <x v="8"/>
    <x v="30"/>
    <x v="256"/>
    <x v="1"/>
    <x v="257"/>
  </r>
  <r>
    <x v="308"/>
    <x v="13"/>
    <x v="0"/>
    <x v="57"/>
    <x v="260"/>
    <x v="42"/>
    <x v="33"/>
    <x v="42"/>
    <x v="257"/>
    <x v="207"/>
    <x v="258"/>
  </r>
  <r>
    <x v="309"/>
    <x v="13"/>
    <x v="0"/>
    <x v="61"/>
    <x v="261"/>
    <x v="30"/>
    <x v="8"/>
    <x v="30"/>
    <x v="258"/>
    <x v="208"/>
    <x v="259"/>
  </r>
  <r>
    <x v="310"/>
    <x v="13"/>
    <x v="1"/>
    <x v="146"/>
    <x v="262"/>
    <x v="42"/>
    <x v="33"/>
    <x v="42"/>
    <x v="257"/>
    <x v="1"/>
    <x v="258"/>
  </r>
  <r>
    <x v="311"/>
    <x v="13"/>
    <x v="0"/>
    <x v="63"/>
    <x v="263"/>
    <x v="30"/>
    <x v="8"/>
    <x v="30"/>
    <x v="259"/>
    <x v="209"/>
    <x v="260"/>
  </r>
  <r>
    <x v="312"/>
    <x v="13"/>
    <x v="1"/>
    <x v="147"/>
    <x v="264"/>
    <x v="30"/>
    <x v="8"/>
    <x v="30"/>
    <x v="260"/>
    <x v="1"/>
    <x v="261"/>
  </r>
  <r>
    <x v="313"/>
    <x v="13"/>
    <x v="0"/>
    <x v="65"/>
    <x v="265"/>
    <x v="41"/>
    <x v="15"/>
    <x v="41"/>
    <x v="261"/>
    <x v="210"/>
    <x v="262"/>
  </r>
  <r>
    <x v="314"/>
    <x v="13"/>
    <x v="0"/>
    <x v="68"/>
    <x v="266"/>
    <x v="42"/>
    <x v="33"/>
    <x v="42"/>
    <x v="262"/>
    <x v="211"/>
    <x v="263"/>
  </r>
  <r>
    <x v="315"/>
    <x v="13"/>
    <x v="0"/>
    <x v="72"/>
    <x v="267"/>
    <x v="41"/>
    <x v="15"/>
    <x v="41"/>
    <x v="263"/>
    <x v="212"/>
    <x v="264"/>
  </r>
  <r>
    <x v="316"/>
    <x v="13"/>
    <x v="0"/>
    <x v="73"/>
    <x v="268"/>
    <x v="42"/>
    <x v="33"/>
    <x v="42"/>
    <x v="93"/>
    <x v="77"/>
    <x v="93"/>
  </r>
  <r>
    <x v="317"/>
    <x v="13"/>
    <x v="1"/>
    <x v="148"/>
    <x v="268"/>
    <x v="30"/>
    <x v="8"/>
    <x v="30"/>
    <x v="220"/>
    <x v="1"/>
    <x v="221"/>
  </r>
  <r>
    <x v="318"/>
    <x v="13"/>
    <x v="0"/>
    <x v="74"/>
    <x v="269"/>
    <x v="42"/>
    <x v="33"/>
    <x v="42"/>
    <x v="264"/>
    <x v="213"/>
    <x v="265"/>
  </r>
  <r>
    <x v="319"/>
    <x v="13"/>
    <x v="0"/>
    <x v="75"/>
    <x v="269"/>
    <x v="30"/>
    <x v="8"/>
    <x v="30"/>
    <x v="265"/>
    <x v="214"/>
    <x v="266"/>
  </r>
  <r>
    <x v="320"/>
    <x v="13"/>
    <x v="1"/>
    <x v="149"/>
    <x v="269"/>
    <x v="30"/>
    <x v="8"/>
    <x v="30"/>
    <x v="266"/>
    <x v="1"/>
    <x v="267"/>
  </r>
  <r>
    <x v="321"/>
    <x v="13"/>
    <x v="1"/>
    <x v="150"/>
    <x v="270"/>
    <x v="11"/>
    <x v="10"/>
    <x v="11"/>
    <x v="220"/>
    <x v="1"/>
    <x v="221"/>
  </r>
  <r>
    <x v="322"/>
    <x v="13"/>
    <x v="1"/>
    <x v="151"/>
    <x v="271"/>
    <x v="11"/>
    <x v="10"/>
    <x v="11"/>
    <x v="267"/>
    <x v="1"/>
    <x v="268"/>
  </r>
  <r>
    <x v="323"/>
    <x v="13"/>
    <x v="0"/>
    <x v="76"/>
    <x v="272"/>
    <x v="11"/>
    <x v="10"/>
    <x v="11"/>
    <x v="268"/>
    <x v="215"/>
    <x v="269"/>
  </r>
  <r>
    <x v="324"/>
    <x v="13"/>
    <x v="0"/>
    <x v="77"/>
    <x v="273"/>
    <x v="41"/>
    <x v="15"/>
    <x v="41"/>
    <x v="269"/>
    <x v="216"/>
    <x v="270"/>
  </r>
  <r>
    <x v="325"/>
    <x v="13"/>
    <x v="1"/>
    <x v="152"/>
    <x v="273"/>
    <x v="30"/>
    <x v="8"/>
    <x v="30"/>
    <x v="260"/>
    <x v="1"/>
    <x v="261"/>
  </r>
  <r>
    <x v="326"/>
    <x v="13"/>
    <x v="0"/>
    <x v="78"/>
    <x v="274"/>
    <x v="11"/>
    <x v="10"/>
    <x v="11"/>
    <x v="270"/>
    <x v="217"/>
    <x v="271"/>
  </r>
  <r>
    <x v="327"/>
    <x v="13"/>
    <x v="1"/>
    <x v="153"/>
    <x v="274"/>
    <x v="30"/>
    <x v="8"/>
    <x v="30"/>
    <x v="158"/>
    <x v="1"/>
    <x v="159"/>
  </r>
  <r>
    <x v="328"/>
    <x v="13"/>
    <x v="0"/>
    <x v="79"/>
    <x v="275"/>
    <x v="41"/>
    <x v="15"/>
    <x v="41"/>
    <x v="271"/>
    <x v="218"/>
    <x v="272"/>
  </r>
  <r>
    <x v="329"/>
    <x v="13"/>
    <x v="0"/>
    <x v="154"/>
    <x v="275"/>
    <x v="41"/>
    <x v="15"/>
    <x v="41"/>
    <x v="272"/>
    <x v="219"/>
    <x v="273"/>
  </r>
  <r>
    <x v="330"/>
    <x v="13"/>
    <x v="1"/>
    <x v="155"/>
    <x v="275"/>
    <x v="30"/>
    <x v="8"/>
    <x v="30"/>
    <x v="273"/>
    <x v="1"/>
    <x v="274"/>
  </r>
  <r>
    <x v="331"/>
    <x v="13"/>
    <x v="0"/>
    <x v="156"/>
    <x v="276"/>
    <x v="30"/>
    <x v="8"/>
    <x v="30"/>
    <x v="274"/>
    <x v="220"/>
    <x v="275"/>
  </r>
  <r>
    <x v="332"/>
    <x v="13"/>
    <x v="1"/>
    <x v="157"/>
    <x v="276"/>
    <x v="47"/>
    <x v="37"/>
    <x v="47"/>
    <x v="21"/>
    <x v="1"/>
    <x v="21"/>
  </r>
  <r>
    <x v="333"/>
    <x v="14"/>
    <x v="0"/>
    <x v="158"/>
    <x v="277"/>
    <x v="41"/>
    <x v="15"/>
    <x v="41"/>
    <x v="275"/>
    <x v="221"/>
    <x v="276"/>
  </r>
  <r>
    <x v="334"/>
    <x v="14"/>
    <x v="1"/>
    <x v="159"/>
    <x v="278"/>
    <x v="48"/>
    <x v="8"/>
    <x v="48"/>
    <x v="276"/>
    <x v="1"/>
    <x v="277"/>
  </r>
  <r>
    <x v="335"/>
    <x v="14"/>
    <x v="0"/>
    <x v="160"/>
    <x v="279"/>
    <x v="47"/>
    <x v="37"/>
    <x v="47"/>
    <x v="277"/>
    <x v="222"/>
    <x v="278"/>
  </r>
  <r>
    <x v="336"/>
    <x v="14"/>
    <x v="1"/>
    <x v="161"/>
    <x v="279"/>
    <x v="48"/>
    <x v="8"/>
    <x v="48"/>
    <x v="42"/>
    <x v="1"/>
    <x v="42"/>
  </r>
  <r>
    <x v="337"/>
    <x v="14"/>
    <x v="0"/>
    <x v="162"/>
    <x v="280"/>
    <x v="11"/>
    <x v="10"/>
    <x v="11"/>
    <x v="278"/>
    <x v="223"/>
    <x v="279"/>
  </r>
  <r>
    <x v="338"/>
    <x v="14"/>
    <x v="1"/>
    <x v="163"/>
    <x v="281"/>
    <x v="48"/>
    <x v="8"/>
    <x v="48"/>
    <x v="279"/>
    <x v="1"/>
    <x v="280"/>
  </r>
  <r>
    <x v="339"/>
    <x v="14"/>
    <x v="1"/>
    <x v="164"/>
    <x v="281"/>
    <x v="49"/>
    <x v="38"/>
    <x v="49"/>
    <x v="280"/>
    <x v="1"/>
    <x v="281"/>
  </r>
  <r>
    <x v="340"/>
    <x v="14"/>
    <x v="1"/>
    <x v="165"/>
    <x v="281"/>
    <x v="48"/>
    <x v="8"/>
    <x v="48"/>
    <x v="281"/>
    <x v="1"/>
    <x v="282"/>
  </r>
  <r>
    <x v="341"/>
    <x v="14"/>
    <x v="0"/>
    <x v="81"/>
    <x v="282"/>
    <x v="41"/>
    <x v="15"/>
    <x v="41"/>
    <x v="269"/>
    <x v="216"/>
    <x v="270"/>
  </r>
  <r>
    <x v="342"/>
    <x v="14"/>
    <x v="0"/>
    <x v="82"/>
    <x v="283"/>
    <x v="49"/>
    <x v="38"/>
    <x v="49"/>
    <x v="282"/>
    <x v="224"/>
    <x v="283"/>
  </r>
  <r>
    <x v="343"/>
    <x v="14"/>
    <x v="0"/>
    <x v="84"/>
    <x v="284"/>
    <x v="41"/>
    <x v="15"/>
    <x v="41"/>
    <x v="269"/>
    <x v="216"/>
    <x v="270"/>
  </r>
  <r>
    <x v="344"/>
    <x v="14"/>
    <x v="1"/>
    <x v="166"/>
    <x v="284"/>
    <x v="47"/>
    <x v="37"/>
    <x v="47"/>
    <x v="283"/>
    <x v="1"/>
    <x v="284"/>
  </r>
  <r>
    <x v="345"/>
    <x v="14"/>
    <x v="1"/>
    <x v="167"/>
    <x v="285"/>
    <x v="48"/>
    <x v="8"/>
    <x v="48"/>
    <x v="42"/>
    <x v="1"/>
    <x v="42"/>
  </r>
  <r>
    <x v="346"/>
    <x v="14"/>
    <x v="0"/>
    <x v="85"/>
    <x v="286"/>
    <x v="42"/>
    <x v="33"/>
    <x v="42"/>
    <x v="284"/>
    <x v="225"/>
    <x v="285"/>
  </r>
  <r>
    <x v="347"/>
    <x v="14"/>
    <x v="0"/>
    <x v="87"/>
    <x v="286"/>
    <x v="41"/>
    <x v="15"/>
    <x v="41"/>
    <x v="285"/>
    <x v="226"/>
    <x v="286"/>
  </r>
  <r>
    <x v="348"/>
    <x v="14"/>
    <x v="1"/>
    <x v="168"/>
    <x v="286"/>
    <x v="47"/>
    <x v="37"/>
    <x v="47"/>
    <x v="280"/>
    <x v="1"/>
    <x v="281"/>
  </r>
  <r>
    <x v="349"/>
    <x v="14"/>
    <x v="0"/>
    <x v="88"/>
    <x v="287"/>
    <x v="41"/>
    <x v="15"/>
    <x v="41"/>
    <x v="286"/>
    <x v="227"/>
    <x v="287"/>
  </r>
  <r>
    <x v="350"/>
    <x v="14"/>
    <x v="0"/>
    <x v="89"/>
    <x v="288"/>
    <x v="47"/>
    <x v="37"/>
    <x v="47"/>
    <x v="287"/>
    <x v="228"/>
    <x v="288"/>
  </r>
  <r>
    <x v="351"/>
    <x v="14"/>
    <x v="0"/>
    <x v="90"/>
    <x v="289"/>
    <x v="41"/>
    <x v="15"/>
    <x v="41"/>
    <x v="269"/>
    <x v="216"/>
    <x v="270"/>
  </r>
  <r>
    <x v="352"/>
    <x v="14"/>
    <x v="0"/>
    <x v="91"/>
    <x v="290"/>
    <x v="41"/>
    <x v="15"/>
    <x v="41"/>
    <x v="288"/>
    <x v="229"/>
    <x v="289"/>
  </r>
  <r>
    <x v="353"/>
    <x v="14"/>
    <x v="0"/>
    <x v="93"/>
    <x v="291"/>
    <x v="50"/>
    <x v="28"/>
    <x v="50"/>
    <x v="289"/>
    <x v="230"/>
    <x v="290"/>
  </r>
  <r>
    <x v="354"/>
    <x v="14"/>
    <x v="1"/>
    <x v="169"/>
    <x v="292"/>
    <x v="47"/>
    <x v="37"/>
    <x v="47"/>
    <x v="290"/>
    <x v="1"/>
    <x v="291"/>
  </r>
  <r>
    <x v="355"/>
    <x v="14"/>
    <x v="0"/>
    <x v="94"/>
    <x v="293"/>
    <x v="41"/>
    <x v="15"/>
    <x v="41"/>
    <x v="291"/>
    <x v="231"/>
    <x v="292"/>
  </r>
  <r>
    <x v="356"/>
    <x v="14"/>
    <x v="0"/>
    <x v="96"/>
    <x v="293"/>
    <x v="10"/>
    <x v="9"/>
    <x v="10"/>
    <x v="292"/>
    <x v="232"/>
    <x v="293"/>
  </r>
  <r>
    <x v="357"/>
    <x v="14"/>
    <x v="1"/>
    <x v="170"/>
    <x v="293"/>
    <x v="47"/>
    <x v="37"/>
    <x v="47"/>
    <x v="293"/>
    <x v="1"/>
    <x v="294"/>
  </r>
  <r>
    <x v="358"/>
    <x v="14"/>
    <x v="0"/>
    <x v="97"/>
    <x v="294"/>
    <x v="41"/>
    <x v="15"/>
    <x v="41"/>
    <x v="294"/>
    <x v="233"/>
    <x v="295"/>
  </r>
  <r>
    <x v="359"/>
    <x v="14"/>
    <x v="1"/>
    <x v="171"/>
    <x v="295"/>
    <x v="30"/>
    <x v="8"/>
    <x v="30"/>
    <x v="295"/>
    <x v="1"/>
    <x v="296"/>
  </r>
  <r>
    <x v="360"/>
    <x v="14"/>
    <x v="0"/>
    <x v="103"/>
    <x v="296"/>
    <x v="41"/>
    <x v="15"/>
    <x v="41"/>
    <x v="296"/>
    <x v="234"/>
    <x v="297"/>
  </r>
  <r>
    <x v="361"/>
    <x v="14"/>
    <x v="0"/>
    <x v="104"/>
    <x v="297"/>
    <x v="47"/>
    <x v="37"/>
    <x v="47"/>
    <x v="297"/>
    <x v="235"/>
    <x v="298"/>
  </r>
  <r>
    <x v="362"/>
    <x v="14"/>
    <x v="1"/>
    <x v="172"/>
    <x v="298"/>
    <x v="47"/>
    <x v="37"/>
    <x v="47"/>
    <x v="22"/>
    <x v="1"/>
    <x v="22"/>
  </r>
  <r>
    <x v="363"/>
    <x v="14"/>
    <x v="0"/>
    <x v="105"/>
    <x v="299"/>
    <x v="42"/>
    <x v="33"/>
    <x v="42"/>
    <x v="298"/>
    <x v="236"/>
    <x v="299"/>
  </r>
  <r>
    <x v="364"/>
    <x v="14"/>
    <x v="1"/>
    <x v="173"/>
    <x v="299"/>
    <x v="10"/>
    <x v="9"/>
    <x v="10"/>
    <x v="299"/>
    <x v="1"/>
    <x v="300"/>
  </r>
  <r>
    <x v="365"/>
    <x v="14"/>
    <x v="0"/>
    <x v="106"/>
    <x v="300"/>
    <x v="10"/>
    <x v="9"/>
    <x v="10"/>
    <x v="300"/>
    <x v="237"/>
    <x v="301"/>
  </r>
  <r>
    <x v="366"/>
    <x v="14"/>
    <x v="0"/>
    <x v="107"/>
    <x v="301"/>
    <x v="41"/>
    <x v="15"/>
    <x v="41"/>
    <x v="301"/>
    <x v="238"/>
    <x v="302"/>
  </r>
  <r>
    <x v="367"/>
    <x v="14"/>
    <x v="1"/>
    <x v="174"/>
    <x v="302"/>
    <x v="51"/>
    <x v="9"/>
    <x v="51"/>
    <x v="158"/>
    <x v="1"/>
    <x v="159"/>
  </r>
  <r>
    <x v="368"/>
    <x v="14"/>
    <x v="1"/>
    <x v="175"/>
    <x v="302"/>
    <x v="47"/>
    <x v="37"/>
    <x v="47"/>
    <x v="260"/>
    <x v="1"/>
    <x v="261"/>
  </r>
  <r>
    <x v="369"/>
    <x v="14"/>
    <x v="0"/>
    <x v="99"/>
    <x v="303"/>
    <x v="41"/>
    <x v="15"/>
    <x v="41"/>
    <x v="302"/>
    <x v="239"/>
    <x v="303"/>
  </r>
  <r>
    <x v="370"/>
    <x v="14"/>
    <x v="1"/>
    <x v="176"/>
    <x v="304"/>
    <x v="48"/>
    <x v="8"/>
    <x v="48"/>
    <x v="220"/>
    <x v="1"/>
    <x v="221"/>
  </r>
  <r>
    <x v="371"/>
    <x v="14"/>
    <x v="0"/>
    <x v="109"/>
    <x v="305"/>
    <x v="47"/>
    <x v="37"/>
    <x v="47"/>
    <x v="303"/>
    <x v="240"/>
    <x v="304"/>
  </r>
  <r>
    <x v="372"/>
    <x v="14"/>
    <x v="1"/>
    <x v="177"/>
    <x v="306"/>
    <x v="48"/>
    <x v="8"/>
    <x v="48"/>
    <x v="304"/>
    <x v="1"/>
    <x v="305"/>
  </r>
  <r>
    <x v="373"/>
    <x v="14"/>
    <x v="1"/>
    <x v="178"/>
    <x v="307"/>
    <x v="41"/>
    <x v="15"/>
    <x v="41"/>
    <x v="305"/>
    <x v="1"/>
    <x v="306"/>
  </r>
  <r>
    <x v="374"/>
    <x v="14"/>
    <x v="1"/>
    <x v="179"/>
    <x v="308"/>
    <x v="41"/>
    <x v="15"/>
    <x v="41"/>
    <x v="306"/>
    <x v="1"/>
    <x v="307"/>
  </r>
  <r>
    <x v="375"/>
    <x v="14"/>
    <x v="0"/>
    <x v="111"/>
    <x v="309"/>
    <x v="41"/>
    <x v="15"/>
    <x v="41"/>
    <x v="306"/>
    <x v="241"/>
    <x v="307"/>
  </r>
  <r>
    <x v="376"/>
    <x v="14"/>
    <x v="1"/>
    <x v="180"/>
    <x v="309"/>
    <x v="52"/>
    <x v="39"/>
    <x v="52"/>
    <x v="307"/>
    <x v="1"/>
    <x v="308"/>
  </r>
  <r>
    <x v="377"/>
    <x v="14"/>
    <x v="0"/>
    <x v="86"/>
    <x v="310"/>
    <x v="11"/>
    <x v="10"/>
    <x v="11"/>
    <x v="308"/>
    <x v="242"/>
    <x v="309"/>
  </r>
  <r>
    <x v="378"/>
    <x v="14"/>
    <x v="0"/>
    <x v="113"/>
    <x v="310"/>
    <x v="52"/>
    <x v="39"/>
    <x v="52"/>
    <x v="307"/>
    <x v="243"/>
    <x v="308"/>
  </r>
  <r>
    <x v="379"/>
    <x v="14"/>
    <x v="1"/>
    <x v="181"/>
    <x v="310"/>
    <x v="41"/>
    <x v="15"/>
    <x v="41"/>
    <x v="305"/>
    <x v="1"/>
    <x v="306"/>
  </r>
  <r>
    <x v="380"/>
    <x v="14"/>
    <x v="1"/>
    <x v="182"/>
    <x v="310"/>
    <x v="41"/>
    <x v="15"/>
    <x v="41"/>
    <x v="306"/>
    <x v="1"/>
    <x v="307"/>
  </r>
  <r>
    <x v="381"/>
    <x v="14"/>
    <x v="1"/>
    <x v="183"/>
    <x v="311"/>
    <x v="53"/>
    <x v="40"/>
    <x v="53"/>
    <x v="309"/>
    <x v="1"/>
    <x v="310"/>
  </r>
  <r>
    <x v="382"/>
    <x v="14"/>
    <x v="0"/>
    <x v="92"/>
    <x v="312"/>
    <x v="41"/>
    <x v="15"/>
    <x v="41"/>
    <x v="306"/>
    <x v="241"/>
    <x v="307"/>
  </r>
  <r>
    <x v="383"/>
    <x v="14"/>
    <x v="0"/>
    <x v="101"/>
    <x v="312"/>
    <x v="53"/>
    <x v="40"/>
    <x v="53"/>
    <x v="310"/>
    <x v="244"/>
    <x v="311"/>
  </r>
  <r>
    <x v="384"/>
    <x v="14"/>
    <x v="0"/>
    <x v="112"/>
    <x v="312"/>
    <x v="11"/>
    <x v="10"/>
    <x v="11"/>
    <x v="311"/>
    <x v="245"/>
    <x v="312"/>
  </r>
  <r>
    <x v="385"/>
    <x v="15"/>
    <x v="1"/>
    <x v="1"/>
    <x v="313"/>
    <x v="47"/>
    <x v="37"/>
    <x v="47"/>
    <x v="220"/>
    <x v="1"/>
    <x v="221"/>
  </r>
  <r>
    <x v="386"/>
    <x v="15"/>
    <x v="1"/>
    <x v="6"/>
    <x v="314"/>
    <x v="47"/>
    <x v="37"/>
    <x v="47"/>
    <x v="59"/>
    <x v="1"/>
    <x v="59"/>
  </r>
  <r>
    <x v="387"/>
    <x v="15"/>
    <x v="0"/>
    <x v="25"/>
    <x v="315"/>
    <x v="41"/>
    <x v="15"/>
    <x v="41"/>
    <x v="306"/>
    <x v="241"/>
    <x v="307"/>
  </r>
  <r>
    <x v="388"/>
    <x v="15"/>
    <x v="1"/>
    <x v="8"/>
    <x v="316"/>
    <x v="32"/>
    <x v="2"/>
    <x v="32"/>
    <x v="312"/>
    <x v="1"/>
    <x v="313"/>
  </r>
  <r>
    <x v="389"/>
    <x v="15"/>
    <x v="1"/>
    <x v="15"/>
    <x v="316"/>
    <x v="41"/>
    <x v="15"/>
    <x v="41"/>
    <x v="306"/>
    <x v="1"/>
    <x v="307"/>
  </r>
  <r>
    <x v="390"/>
    <x v="15"/>
    <x v="0"/>
    <x v="0"/>
    <x v="317"/>
    <x v="47"/>
    <x v="37"/>
    <x v="47"/>
    <x v="313"/>
    <x v="246"/>
    <x v="314"/>
  </r>
  <r>
    <x v="391"/>
    <x v="15"/>
    <x v="0"/>
    <x v="28"/>
    <x v="317"/>
    <x v="32"/>
    <x v="2"/>
    <x v="32"/>
    <x v="314"/>
    <x v="247"/>
    <x v="315"/>
  </r>
  <r>
    <x v="392"/>
    <x v="15"/>
    <x v="0"/>
    <x v="26"/>
    <x v="317"/>
    <x v="53"/>
    <x v="40"/>
    <x v="53"/>
    <x v="315"/>
    <x v="248"/>
    <x v="316"/>
  </r>
  <r>
    <x v="393"/>
    <x v="15"/>
    <x v="0"/>
    <x v="11"/>
    <x v="317"/>
    <x v="54"/>
    <x v="41"/>
    <x v="54"/>
    <x v="280"/>
    <x v="249"/>
    <x v="281"/>
  </r>
  <r>
    <x v="394"/>
    <x v="15"/>
    <x v="0"/>
    <x v="27"/>
    <x v="318"/>
    <x v="37"/>
    <x v="30"/>
    <x v="37"/>
    <x v="316"/>
    <x v="250"/>
    <x v="317"/>
  </r>
  <r>
    <x v="395"/>
    <x v="15"/>
    <x v="1"/>
    <x v="18"/>
    <x v="318"/>
    <x v="37"/>
    <x v="30"/>
    <x v="37"/>
    <x v="317"/>
    <x v="1"/>
    <x v="318"/>
  </r>
  <r>
    <x v="396"/>
    <x v="15"/>
    <x v="1"/>
    <x v="21"/>
    <x v="319"/>
    <x v="52"/>
    <x v="39"/>
    <x v="52"/>
    <x v="307"/>
    <x v="1"/>
    <x v="308"/>
  </r>
  <r>
    <x v="397"/>
    <x v="15"/>
    <x v="0"/>
    <x v="3"/>
    <x v="320"/>
    <x v="41"/>
    <x v="15"/>
    <x v="41"/>
    <x v="306"/>
    <x v="241"/>
    <x v="307"/>
  </r>
  <r>
    <x v="398"/>
    <x v="15"/>
    <x v="1"/>
    <x v="23"/>
    <x v="320"/>
    <x v="37"/>
    <x v="30"/>
    <x v="37"/>
    <x v="127"/>
    <x v="1"/>
    <x v="127"/>
  </r>
  <r>
    <x v="399"/>
    <x v="15"/>
    <x v="0"/>
    <x v="4"/>
    <x v="321"/>
    <x v="37"/>
    <x v="30"/>
    <x v="37"/>
    <x v="318"/>
    <x v="251"/>
    <x v="319"/>
  </r>
  <r>
    <x v="400"/>
    <x v="15"/>
    <x v="0"/>
    <x v="5"/>
    <x v="321"/>
    <x v="55"/>
    <x v="42"/>
    <x v="55"/>
    <x v="319"/>
    <x v="252"/>
    <x v="320"/>
  </r>
  <r>
    <x v="401"/>
    <x v="15"/>
    <x v="0"/>
    <x v="7"/>
    <x v="322"/>
    <x v="26"/>
    <x v="23"/>
    <x v="26"/>
    <x v="320"/>
    <x v="253"/>
    <x v="321"/>
  </r>
  <r>
    <x v="402"/>
    <x v="15"/>
    <x v="0"/>
    <x v="9"/>
    <x v="323"/>
    <x v="56"/>
    <x v="43"/>
    <x v="56"/>
    <x v="182"/>
    <x v="163"/>
    <x v="183"/>
  </r>
  <r>
    <x v="403"/>
    <x v="15"/>
    <x v="1"/>
    <x v="24"/>
    <x v="324"/>
    <x v="37"/>
    <x v="30"/>
    <x v="37"/>
    <x v="317"/>
    <x v="1"/>
    <x v="318"/>
  </r>
  <r>
    <x v="404"/>
    <x v="15"/>
    <x v="0"/>
    <x v="10"/>
    <x v="325"/>
    <x v="37"/>
    <x v="30"/>
    <x v="37"/>
    <x v="321"/>
    <x v="254"/>
    <x v="322"/>
  </r>
  <r>
    <x v="405"/>
    <x v="15"/>
    <x v="1"/>
    <x v="33"/>
    <x v="326"/>
    <x v="37"/>
    <x v="30"/>
    <x v="37"/>
    <x v="322"/>
    <x v="1"/>
    <x v="323"/>
  </r>
  <r>
    <x v="406"/>
    <x v="15"/>
    <x v="1"/>
    <x v="36"/>
    <x v="326"/>
    <x v="56"/>
    <x v="43"/>
    <x v="56"/>
    <x v="323"/>
    <x v="1"/>
    <x v="324"/>
  </r>
  <r>
    <x v="407"/>
    <x v="15"/>
    <x v="0"/>
    <x v="12"/>
    <x v="327"/>
    <x v="56"/>
    <x v="43"/>
    <x v="56"/>
    <x v="324"/>
    <x v="255"/>
    <x v="325"/>
  </r>
  <r>
    <x v="408"/>
    <x v="15"/>
    <x v="0"/>
    <x v="41"/>
    <x v="327"/>
    <x v="6"/>
    <x v="6"/>
    <x v="6"/>
    <x v="325"/>
    <x v="256"/>
    <x v="326"/>
  </r>
  <r>
    <x v="409"/>
    <x v="15"/>
    <x v="0"/>
    <x v="13"/>
    <x v="328"/>
    <x v="57"/>
    <x v="44"/>
    <x v="57"/>
    <x v="326"/>
    <x v="257"/>
    <x v="327"/>
  </r>
  <r>
    <x v="410"/>
    <x v="15"/>
    <x v="1"/>
    <x v="37"/>
    <x v="329"/>
    <x v="47"/>
    <x v="37"/>
    <x v="47"/>
    <x v="327"/>
    <x v="1"/>
    <x v="328"/>
  </r>
  <r>
    <x v="411"/>
    <x v="15"/>
    <x v="0"/>
    <x v="19"/>
    <x v="330"/>
    <x v="56"/>
    <x v="43"/>
    <x v="56"/>
    <x v="166"/>
    <x v="150"/>
    <x v="167"/>
  </r>
  <r>
    <x v="412"/>
    <x v="15"/>
    <x v="1"/>
    <x v="141"/>
    <x v="330"/>
    <x v="47"/>
    <x v="37"/>
    <x v="47"/>
    <x v="21"/>
    <x v="1"/>
    <x v="21"/>
  </r>
  <r>
    <x v="413"/>
    <x v="15"/>
    <x v="1"/>
    <x v="44"/>
    <x v="330"/>
    <x v="57"/>
    <x v="44"/>
    <x v="57"/>
    <x v="328"/>
    <x v="1"/>
    <x v="329"/>
  </r>
  <r>
    <x v="414"/>
    <x v="15"/>
    <x v="0"/>
    <x v="14"/>
    <x v="331"/>
    <x v="57"/>
    <x v="44"/>
    <x v="57"/>
    <x v="329"/>
    <x v="258"/>
    <x v="330"/>
  </r>
  <r>
    <x v="415"/>
    <x v="15"/>
    <x v="0"/>
    <x v="16"/>
    <x v="332"/>
    <x v="55"/>
    <x v="42"/>
    <x v="55"/>
    <x v="330"/>
    <x v="259"/>
    <x v="331"/>
  </r>
  <r>
    <x v="416"/>
    <x v="15"/>
    <x v="0"/>
    <x v="17"/>
    <x v="332"/>
    <x v="58"/>
    <x v="45"/>
    <x v="58"/>
    <x v="331"/>
    <x v="260"/>
    <x v="332"/>
  </r>
  <r>
    <x v="417"/>
    <x v="15"/>
    <x v="1"/>
    <x v="46"/>
    <x v="333"/>
    <x v="47"/>
    <x v="37"/>
    <x v="47"/>
    <x v="332"/>
    <x v="1"/>
    <x v="333"/>
  </r>
  <r>
    <x v="418"/>
    <x v="15"/>
    <x v="0"/>
    <x v="20"/>
    <x v="334"/>
    <x v="47"/>
    <x v="37"/>
    <x v="47"/>
    <x v="333"/>
    <x v="261"/>
    <x v="334"/>
  </r>
  <r>
    <x v="419"/>
    <x v="15"/>
    <x v="1"/>
    <x v="48"/>
    <x v="334"/>
    <x v="43"/>
    <x v="34"/>
    <x v="43"/>
    <x v="334"/>
    <x v="1"/>
    <x v="335"/>
  </r>
  <r>
    <x v="420"/>
    <x v="15"/>
    <x v="1"/>
    <x v="142"/>
    <x v="334"/>
    <x v="58"/>
    <x v="45"/>
    <x v="58"/>
    <x v="324"/>
    <x v="1"/>
    <x v="336"/>
  </r>
  <r>
    <x v="421"/>
    <x v="15"/>
    <x v="0"/>
    <x v="22"/>
    <x v="335"/>
    <x v="43"/>
    <x v="34"/>
    <x v="43"/>
    <x v="335"/>
    <x v="262"/>
    <x v="337"/>
  </r>
  <r>
    <x v="422"/>
    <x v="15"/>
    <x v="1"/>
    <x v="143"/>
    <x v="336"/>
    <x v="43"/>
    <x v="34"/>
    <x v="43"/>
    <x v="336"/>
    <x v="1"/>
    <x v="338"/>
  </r>
  <r>
    <x v="423"/>
    <x v="15"/>
    <x v="0"/>
    <x v="31"/>
    <x v="337"/>
    <x v="43"/>
    <x v="34"/>
    <x v="43"/>
    <x v="337"/>
    <x v="263"/>
    <x v="339"/>
  </r>
  <r>
    <x v="424"/>
    <x v="15"/>
    <x v="0"/>
    <x v="30"/>
    <x v="338"/>
    <x v="58"/>
    <x v="45"/>
    <x v="58"/>
    <x v="338"/>
    <x v="264"/>
    <x v="340"/>
  </r>
  <r>
    <x v="425"/>
    <x v="15"/>
    <x v="1"/>
    <x v="95"/>
    <x v="338"/>
    <x v="43"/>
    <x v="34"/>
    <x v="43"/>
    <x v="339"/>
    <x v="1"/>
    <x v="341"/>
  </r>
  <r>
    <x v="426"/>
    <x v="15"/>
    <x v="0"/>
    <x v="29"/>
    <x v="339"/>
    <x v="43"/>
    <x v="34"/>
    <x v="43"/>
    <x v="340"/>
    <x v="265"/>
    <x v="342"/>
  </r>
  <r>
    <x v="427"/>
    <x v="15"/>
    <x v="1"/>
    <x v="100"/>
    <x v="340"/>
    <x v="37"/>
    <x v="30"/>
    <x v="37"/>
    <x v="127"/>
    <x v="1"/>
    <x v="127"/>
  </r>
  <r>
    <x v="428"/>
    <x v="15"/>
    <x v="1"/>
    <x v="102"/>
    <x v="341"/>
    <x v="43"/>
    <x v="34"/>
    <x v="43"/>
    <x v="341"/>
    <x v="1"/>
    <x v="343"/>
  </r>
  <r>
    <x v="429"/>
    <x v="15"/>
    <x v="0"/>
    <x v="35"/>
    <x v="342"/>
    <x v="43"/>
    <x v="34"/>
    <x v="43"/>
    <x v="342"/>
    <x v="266"/>
    <x v="344"/>
  </r>
  <r>
    <x v="430"/>
    <x v="15"/>
    <x v="0"/>
    <x v="34"/>
    <x v="343"/>
    <x v="37"/>
    <x v="30"/>
    <x v="37"/>
    <x v="343"/>
    <x v="267"/>
    <x v="345"/>
  </r>
  <r>
    <x v="431"/>
    <x v="15"/>
    <x v="1"/>
    <x v="108"/>
    <x v="344"/>
    <x v="37"/>
    <x v="30"/>
    <x v="37"/>
    <x v="322"/>
    <x v="1"/>
    <x v="323"/>
  </r>
  <r>
    <x v="432"/>
    <x v="15"/>
    <x v="1"/>
    <x v="110"/>
    <x v="344"/>
    <x v="47"/>
    <x v="37"/>
    <x v="47"/>
    <x v="59"/>
    <x v="1"/>
    <x v="59"/>
  </r>
  <r>
    <x v="433"/>
    <x v="15"/>
    <x v="1"/>
    <x v="114"/>
    <x v="345"/>
    <x v="45"/>
    <x v="35"/>
    <x v="45"/>
    <x v="344"/>
    <x v="1"/>
    <x v="346"/>
  </r>
  <r>
    <x v="434"/>
    <x v="15"/>
    <x v="0"/>
    <x v="38"/>
    <x v="346"/>
    <x v="56"/>
    <x v="43"/>
    <x v="56"/>
    <x v="345"/>
    <x v="268"/>
    <x v="347"/>
  </r>
  <r>
    <x v="435"/>
    <x v="15"/>
    <x v="1"/>
    <x v="115"/>
    <x v="346"/>
    <x v="56"/>
    <x v="43"/>
    <x v="56"/>
    <x v="346"/>
    <x v="1"/>
    <x v="348"/>
  </r>
  <r>
    <x v="436"/>
    <x v="15"/>
    <x v="0"/>
    <x v="40"/>
    <x v="347"/>
    <x v="56"/>
    <x v="43"/>
    <x v="56"/>
    <x v="345"/>
    <x v="268"/>
    <x v="347"/>
  </r>
  <r>
    <x v="437"/>
    <x v="15"/>
    <x v="0"/>
    <x v="42"/>
    <x v="348"/>
    <x v="56"/>
    <x v="43"/>
    <x v="56"/>
    <x v="347"/>
    <x v="269"/>
    <x v="349"/>
  </r>
  <r>
    <x v="438"/>
    <x v="16"/>
    <x v="0"/>
    <x v="50"/>
    <x v="349"/>
    <x v="45"/>
    <x v="35"/>
    <x v="45"/>
    <x v="344"/>
    <x v="270"/>
    <x v="346"/>
  </r>
  <r>
    <x v="439"/>
    <x v="16"/>
    <x v="1"/>
    <x v="117"/>
    <x v="350"/>
    <x v="47"/>
    <x v="37"/>
    <x v="47"/>
    <x v="21"/>
    <x v="1"/>
    <x v="21"/>
  </r>
  <r>
    <x v="440"/>
    <x v="16"/>
    <x v="1"/>
    <x v="120"/>
    <x v="351"/>
    <x v="37"/>
    <x v="30"/>
    <x v="37"/>
    <x v="348"/>
    <x v="1"/>
    <x v="350"/>
  </r>
  <r>
    <x v="441"/>
    <x v="16"/>
    <x v="0"/>
    <x v="69"/>
    <x v="352"/>
    <x v="47"/>
    <x v="37"/>
    <x v="47"/>
    <x v="349"/>
    <x v="271"/>
    <x v="351"/>
  </r>
  <r>
    <x v="442"/>
    <x v="16"/>
    <x v="0"/>
    <x v="43"/>
    <x v="353"/>
    <x v="37"/>
    <x v="30"/>
    <x v="37"/>
    <x v="348"/>
    <x v="272"/>
    <x v="350"/>
  </r>
  <r>
    <x v="443"/>
    <x v="16"/>
    <x v="1"/>
    <x v="123"/>
    <x v="354"/>
    <x v="32"/>
    <x v="2"/>
    <x v="32"/>
    <x v="178"/>
    <x v="1"/>
    <x v="179"/>
  </r>
  <r>
    <x v="444"/>
    <x v="16"/>
    <x v="0"/>
    <x v="45"/>
    <x v="355"/>
    <x v="59"/>
    <x v="46"/>
    <x v="59"/>
    <x v="350"/>
    <x v="273"/>
    <x v="352"/>
  </r>
  <r>
    <x v="445"/>
    <x v="16"/>
    <x v="1"/>
    <x v="125"/>
    <x v="355"/>
    <x v="10"/>
    <x v="9"/>
    <x v="10"/>
    <x v="332"/>
    <x v="1"/>
    <x v="333"/>
  </r>
  <r>
    <x v="446"/>
    <x v="16"/>
    <x v="0"/>
    <x v="47"/>
    <x v="356"/>
    <x v="32"/>
    <x v="2"/>
    <x v="32"/>
    <x v="351"/>
    <x v="274"/>
    <x v="353"/>
  </r>
  <r>
    <x v="447"/>
    <x v="16"/>
    <x v="0"/>
    <x v="70"/>
    <x v="357"/>
    <x v="37"/>
    <x v="30"/>
    <x v="37"/>
    <x v="352"/>
    <x v="275"/>
    <x v="354"/>
  </r>
  <r>
    <x v="448"/>
    <x v="16"/>
    <x v="0"/>
    <x v="49"/>
    <x v="357"/>
    <x v="5"/>
    <x v="5"/>
    <x v="5"/>
    <x v="353"/>
    <x v="276"/>
    <x v="355"/>
  </r>
  <r>
    <x v="449"/>
    <x v="16"/>
    <x v="1"/>
    <x v="129"/>
    <x v="357"/>
    <x v="37"/>
    <x v="30"/>
    <x v="37"/>
    <x v="354"/>
    <x v="1"/>
    <x v="356"/>
  </r>
  <r>
    <x v="450"/>
    <x v="16"/>
    <x v="1"/>
    <x v="130"/>
    <x v="358"/>
    <x v="58"/>
    <x v="45"/>
    <x v="58"/>
    <x v="355"/>
    <x v="1"/>
    <x v="357"/>
  </r>
  <r>
    <x v="451"/>
    <x v="16"/>
    <x v="1"/>
    <x v="134"/>
    <x v="359"/>
    <x v="15"/>
    <x v="14"/>
    <x v="15"/>
    <x v="312"/>
    <x v="1"/>
    <x v="313"/>
  </r>
  <r>
    <x v="452"/>
    <x v="16"/>
    <x v="1"/>
    <x v="135"/>
    <x v="359"/>
    <x v="47"/>
    <x v="37"/>
    <x v="47"/>
    <x v="276"/>
    <x v="1"/>
    <x v="277"/>
  </r>
  <r>
    <x v="453"/>
    <x v="16"/>
    <x v="1"/>
    <x v="139"/>
    <x v="360"/>
    <x v="37"/>
    <x v="30"/>
    <x v="37"/>
    <x v="178"/>
    <x v="1"/>
    <x v="179"/>
  </r>
  <r>
    <x v="454"/>
    <x v="16"/>
    <x v="0"/>
    <x v="51"/>
    <x v="361"/>
    <x v="58"/>
    <x v="45"/>
    <x v="58"/>
    <x v="356"/>
    <x v="277"/>
    <x v="358"/>
  </r>
  <r>
    <x v="455"/>
    <x v="16"/>
    <x v="0"/>
    <x v="52"/>
    <x v="361"/>
    <x v="58"/>
    <x v="45"/>
    <x v="58"/>
    <x v="357"/>
    <x v="278"/>
    <x v="359"/>
  </r>
  <r>
    <x v="456"/>
    <x v="16"/>
    <x v="1"/>
    <x v="144"/>
    <x v="362"/>
    <x v="45"/>
    <x v="35"/>
    <x v="45"/>
    <x v="358"/>
    <x v="1"/>
    <x v="360"/>
  </r>
  <r>
    <x v="457"/>
    <x v="16"/>
    <x v="0"/>
    <x v="56"/>
    <x v="363"/>
    <x v="37"/>
    <x v="30"/>
    <x v="37"/>
    <x v="359"/>
    <x v="279"/>
    <x v="361"/>
  </r>
  <r>
    <x v="458"/>
    <x v="16"/>
    <x v="1"/>
    <x v="145"/>
    <x v="363"/>
    <x v="37"/>
    <x v="30"/>
    <x v="37"/>
    <x v="360"/>
    <x v="1"/>
    <x v="362"/>
  </r>
  <r>
    <x v="459"/>
    <x v="16"/>
    <x v="1"/>
    <x v="146"/>
    <x v="363"/>
    <x v="37"/>
    <x v="30"/>
    <x v="37"/>
    <x v="342"/>
    <x v="1"/>
    <x v="344"/>
  </r>
  <r>
    <x v="460"/>
    <x v="16"/>
    <x v="0"/>
    <x v="53"/>
    <x v="364"/>
    <x v="45"/>
    <x v="35"/>
    <x v="45"/>
    <x v="361"/>
    <x v="280"/>
    <x v="363"/>
  </r>
  <r>
    <x v="461"/>
    <x v="16"/>
    <x v="0"/>
    <x v="55"/>
    <x v="365"/>
    <x v="37"/>
    <x v="30"/>
    <x v="37"/>
    <x v="362"/>
    <x v="281"/>
    <x v="364"/>
  </r>
  <r>
    <x v="462"/>
    <x v="16"/>
    <x v="0"/>
    <x v="39"/>
    <x v="366"/>
    <x v="37"/>
    <x v="30"/>
    <x v="37"/>
    <x v="363"/>
    <x v="282"/>
    <x v="365"/>
  </r>
  <r>
    <x v="463"/>
    <x v="16"/>
    <x v="0"/>
    <x v="54"/>
    <x v="366"/>
    <x v="10"/>
    <x v="9"/>
    <x v="10"/>
    <x v="364"/>
    <x v="283"/>
    <x v="366"/>
  </r>
  <r>
    <x v="464"/>
    <x v="16"/>
    <x v="1"/>
    <x v="147"/>
    <x v="367"/>
    <x v="45"/>
    <x v="35"/>
    <x v="45"/>
    <x v="365"/>
    <x v="1"/>
    <x v="367"/>
  </r>
  <r>
    <x v="465"/>
    <x v="16"/>
    <x v="1"/>
    <x v="148"/>
    <x v="367"/>
    <x v="58"/>
    <x v="45"/>
    <x v="58"/>
    <x v="366"/>
    <x v="1"/>
    <x v="368"/>
  </r>
  <r>
    <x v="466"/>
    <x v="16"/>
    <x v="0"/>
    <x v="58"/>
    <x v="368"/>
    <x v="58"/>
    <x v="45"/>
    <x v="58"/>
    <x v="367"/>
    <x v="284"/>
    <x v="369"/>
  </r>
  <r>
    <x v="467"/>
    <x v="16"/>
    <x v="0"/>
    <x v="64"/>
    <x v="368"/>
    <x v="45"/>
    <x v="35"/>
    <x v="45"/>
    <x v="368"/>
    <x v="285"/>
    <x v="370"/>
  </r>
  <r>
    <x v="468"/>
    <x v="16"/>
    <x v="0"/>
    <x v="59"/>
    <x v="369"/>
    <x v="15"/>
    <x v="14"/>
    <x v="15"/>
    <x v="369"/>
    <x v="286"/>
    <x v="371"/>
  </r>
  <r>
    <x v="469"/>
    <x v="16"/>
    <x v="0"/>
    <x v="62"/>
    <x v="370"/>
    <x v="47"/>
    <x v="37"/>
    <x v="47"/>
    <x v="370"/>
    <x v="287"/>
    <x v="372"/>
  </r>
  <r>
    <x v="470"/>
    <x v="16"/>
    <x v="0"/>
    <x v="60"/>
    <x v="371"/>
    <x v="55"/>
    <x v="42"/>
    <x v="55"/>
    <x v="371"/>
    <x v="288"/>
    <x v="373"/>
  </r>
  <r>
    <x v="471"/>
    <x v="16"/>
    <x v="1"/>
    <x v="149"/>
    <x v="371"/>
    <x v="15"/>
    <x v="14"/>
    <x v="15"/>
    <x v="312"/>
    <x v="1"/>
    <x v="313"/>
  </r>
  <r>
    <x v="472"/>
    <x v="16"/>
    <x v="1"/>
    <x v="150"/>
    <x v="371"/>
    <x v="37"/>
    <x v="30"/>
    <x v="37"/>
    <x v="372"/>
    <x v="1"/>
    <x v="374"/>
  </r>
  <r>
    <x v="473"/>
    <x v="16"/>
    <x v="0"/>
    <x v="66"/>
    <x v="372"/>
    <x v="37"/>
    <x v="30"/>
    <x v="37"/>
    <x v="372"/>
    <x v="289"/>
    <x v="374"/>
  </r>
  <r>
    <x v="474"/>
    <x v="16"/>
    <x v="1"/>
    <x v="151"/>
    <x v="373"/>
    <x v="37"/>
    <x v="30"/>
    <x v="37"/>
    <x v="373"/>
    <x v="1"/>
    <x v="375"/>
  </r>
  <r>
    <x v="475"/>
    <x v="16"/>
    <x v="0"/>
    <x v="67"/>
    <x v="374"/>
    <x v="15"/>
    <x v="14"/>
    <x v="15"/>
    <x v="374"/>
    <x v="290"/>
    <x v="376"/>
  </r>
  <r>
    <x v="476"/>
    <x v="16"/>
    <x v="1"/>
    <x v="152"/>
    <x v="375"/>
    <x v="47"/>
    <x v="37"/>
    <x v="47"/>
    <x v="375"/>
    <x v="1"/>
    <x v="377"/>
  </r>
  <r>
    <x v="477"/>
    <x v="16"/>
    <x v="1"/>
    <x v="153"/>
    <x v="375"/>
    <x v="58"/>
    <x v="45"/>
    <x v="58"/>
    <x v="376"/>
    <x v="1"/>
    <x v="378"/>
  </r>
  <r>
    <x v="478"/>
    <x v="16"/>
    <x v="0"/>
    <x v="57"/>
    <x v="376"/>
    <x v="60"/>
    <x v="8"/>
    <x v="60"/>
    <x v="377"/>
    <x v="291"/>
    <x v="379"/>
  </r>
  <r>
    <x v="479"/>
    <x v="16"/>
    <x v="0"/>
    <x v="61"/>
    <x v="376"/>
    <x v="58"/>
    <x v="45"/>
    <x v="58"/>
    <x v="376"/>
    <x v="292"/>
    <x v="378"/>
  </r>
  <r>
    <x v="480"/>
    <x v="16"/>
    <x v="0"/>
    <x v="65"/>
    <x v="376"/>
    <x v="37"/>
    <x v="30"/>
    <x v="37"/>
    <x v="378"/>
    <x v="293"/>
    <x v="380"/>
  </r>
  <r>
    <x v="481"/>
    <x v="16"/>
    <x v="1"/>
    <x v="155"/>
    <x v="377"/>
    <x v="37"/>
    <x v="30"/>
    <x v="37"/>
    <x v="378"/>
    <x v="1"/>
    <x v="380"/>
  </r>
  <r>
    <x v="482"/>
    <x v="16"/>
    <x v="0"/>
    <x v="63"/>
    <x v="378"/>
    <x v="37"/>
    <x v="30"/>
    <x v="37"/>
    <x v="379"/>
    <x v="294"/>
    <x v="381"/>
  </r>
  <r>
    <x v="483"/>
    <x v="16"/>
    <x v="1"/>
    <x v="157"/>
    <x v="379"/>
    <x v="45"/>
    <x v="35"/>
    <x v="45"/>
    <x v="368"/>
    <x v="1"/>
    <x v="370"/>
  </r>
  <r>
    <x v="484"/>
    <x v="16"/>
    <x v="0"/>
    <x v="68"/>
    <x v="380"/>
    <x v="61"/>
    <x v="11"/>
    <x v="61"/>
    <x v="380"/>
    <x v="295"/>
    <x v="382"/>
  </r>
  <r>
    <x v="485"/>
    <x v="16"/>
    <x v="0"/>
    <x v="72"/>
    <x v="381"/>
    <x v="45"/>
    <x v="35"/>
    <x v="45"/>
    <x v="356"/>
    <x v="277"/>
    <x v="358"/>
  </r>
  <r>
    <x v="486"/>
    <x v="16"/>
    <x v="1"/>
    <x v="159"/>
    <x v="382"/>
    <x v="15"/>
    <x v="14"/>
    <x v="15"/>
    <x v="381"/>
    <x v="1"/>
    <x v="383"/>
  </r>
  <r>
    <x v="487"/>
    <x v="16"/>
    <x v="1"/>
    <x v="161"/>
    <x v="382"/>
    <x v="47"/>
    <x v="37"/>
    <x v="47"/>
    <x v="59"/>
    <x v="1"/>
    <x v="59"/>
  </r>
  <r>
    <x v="488"/>
    <x v="16"/>
    <x v="1"/>
    <x v="163"/>
    <x v="383"/>
    <x v="0"/>
    <x v="0"/>
    <x v="0"/>
    <x v="260"/>
    <x v="1"/>
    <x v="261"/>
  </r>
  <r>
    <x v="489"/>
    <x v="16"/>
    <x v="0"/>
    <x v="71"/>
    <x v="384"/>
    <x v="0"/>
    <x v="0"/>
    <x v="0"/>
    <x v="382"/>
    <x v="296"/>
    <x v="384"/>
  </r>
  <r>
    <x v="490"/>
    <x v="16"/>
    <x v="0"/>
    <x v="74"/>
    <x v="384"/>
    <x v="15"/>
    <x v="14"/>
    <x v="15"/>
    <x v="383"/>
    <x v="297"/>
    <x v="385"/>
  </r>
  <r>
    <x v="491"/>
    <x v="16"/>
    <x v="1"/>
    <x v="164"/>
    <x v="385"/>
    <x v="58"/>
    <x v="45"/>
    <x v="58"/>
    <x v="384"/>
    <x v="1"/>
    <x v="386"/>
  </r>
  <r>
    <x v="492"/>
    <x v="16"/>
    <x v="1"/>
    <x v="165"/>
    <x v="386"/>
    <x v="62"/>
    <x v="47"/>
    <x v="62"/>
    <x v="381"/>
    <x v="1"/>
    <x v="383"/>
  </r>
  <r>
    <x v="493"/>
    <x v="16"/>
    <x v="1"/>
    <x v="166"/>
    <x v="387"/>
    <x v="15"/>
    <x v="14"/>
    <x v="15"/>
    <x v="381"/>
    <x v="1"/>
    <x v="383"/>
  </r>
  <r>
    <x v="494"/>
    <x v="16"/>
    <x v="1"/>
    <x v="167"/>
    <x v="387"/>
    <x v="0"/>
    <x v="0"/>
    <x v="0"/>
    <x v="385"/>
    <x v="1"/>
    <x v="387"/>
  </r>
  <r>
    <x v="495"/>
    <x v="16"/>
    <x v="0"/>
    <x v="73"/>
    <x v="388"/>
    <x v="47"/>
    <x v="37"/>
    <x v="47"/>
    <x v="386"/>
    <x v="298"/>
    <x v="388"/>
  </r>
  <r>
    <x v="496"/>
    <x v="16"/>
    <x v="0"/>
    <x v="76"/>
    <x v="389"/>
    <x v="0"/>
    <x v="0"/>
    <x v="0"/>
    <x v="387"/>
    <x v="299"/>
    <x v="389"/>
  </r>
  <r>
    <x v="497"/>
    <x v="16"/>
    <x v="0"/>
    <x v="78"/>
    <x v="389"/>
    <x v="15"/>
    <x v="14"/>
    <x v="15"/>
    <x v="388"/>
    <x v="300"/>
    <x v="390"/>
  </r>
  <r>
    <x v="498"/>
    <x v="16"/>
    <x v="1"/>
    <x v="168"/>
    <x v="389"/>
    <x v="63"/>
    <x v="31"/>
    <x v="63"/>
    <x v="80"/>
    <x v="1"/>
    <x v="80"/>
  </r>
  <r>
    <x v="499"/>
    <x v="16"/>
    <x v="0"/>
    <x v="77"/>
    <x v="390"/>
    <x v="64"/>
    <x v="48"/>
    <x v="64"/>
    <x v="389"/>
    <x v="301"/>
    <x v="391"/>
  </r>
  <r>
    <x v="500"/>
    <x v="16"/>
    <x v="0"/>
    <x v="79"/>
    <x v="390"/>
    <x v="63"/>
    <x v="31"/>
    <x v="63"/>
    <x v="390"/>
    <x v="302"/>
    <x v="392"/>
  </r>
  <r>
    <x v="501"/>
    <x v="16"/>
    <x v="0"/>
    <x v="87"/>
    <x v="391"/>
    <x v="58"/>
    <x v="45"/>
    <x v="58"/>
    <x v="384"/>
    <x v="303"/>
    <x v="386"/>
  </r>
  <r>
    <x v="502"/>
    <x v="16"/>
    <x v="1"/>
    <x v="170"/>
    <x v="391"/>
    <x v="63"/>
    <x v="31"/>
    <x v="63"/>
    <x v="391"/>
    <x v="1"/>
    <x v="393"/>
  </r>
  <r>
    <x v="503"/>
    <x v="16"/>
    <x v="0"/>
    <x v="154"/>
    <x v="392"/>
    <x v="63"/>
    <x v="31"/>
    <x v="63"/>
    <x v="392"/>
    <x v="304"/>
    <x v="394"/>
  </r>
  <r>
    <x v="504"/>
    <x v="16"/>
    <x v="0"/>
    <x v="156"/>
    <x v="392"/>
    <x v="62"/>
    <x v="47"/>
    <x v="62"/>
    <x v="393"/>
    <x v="305"/>
    <x v="395"/>
  </r>
  <r>
    <x v="505"/>
    <x v="16"/>
    <x v="1"/>
    <x v="169"/>
    <x v="392"/>
    <x v="15"/>
    <x v="14"/>
    <x v="15"/>
    <x v="381"/>
    <x v="1"/>
    <x v="383"/>
  </r>
  <r>
    <x v="506"/>
    <x v="16"/>
    <x v="1"/>
    <x v="171"/>
    <x v="393"/>
    <x v="53"/>
    <x v="40"/>
    <x v="53"/>
    <x v="394"/>
    <x v="1"/>
    <x v="396"/>
  </r>
  <r>
    <x v="507"/>
    <x v="16"/>
    <x v="1"/>
    <x v="172"/>
    <x v="393"/>
    <x v="63"/>
    <x v="31"/>
    <x v="63"/>
    <x v="395"/>
    <x v="1"/>
    <x v="397"/>
  </r>
  <r>
    <x v="508"/>
    <x v="16"/>
    <x v="0"/>
    <x v="158"/>
    <x v="394"/>
    <x v="63"/>
    <x v="31"/>
    <x v="63"/>
    <x v="396"/>
    <x v="306"/>
    <x v="398"/>
  </r>
  <r>
    <x v="509"/>
    <x v="16"/>
    <x v="0"/>
    <x v="160"/>
    <x v="394"/>
    <x v="53"/>
    <x v="40"/>
    <x v="53"/>
    <x v="397"/>
    <x v="307"/>
    <x v="399"/>
  </r>
  <r>
    <x v="510"/>
    <x v="17"/>
    <x v="0"/>
    <x v="162"/>
    <x v="395"/>
    <x v="15"/>
    <x v="14"/>
    <x v="15"/>
    <x v="398"/>
    <x v="308"/>
    <x v="400"/>
  </r>
  <r>
    <x v="511"/>
    <x v="17"/>
    <x v="0"/>
    <x v="80"/>
    <x v="396"/>
    <x v="11"/>
    <x v="10"/>
    <x v="11"/>
    <x v="399"/>
    <x v="309"/>
    <x v="401"/>
  </r>
  <r>
    <x v="512"/>
    <x v="17"/>
    <x v="0"/>
    <x v="96"/>
    <x v="396"/>
    <x v="58"/>
    <x v="45"/>
    <x v="58"/>
    <x v="400"/>
    <x v="310"/>
    <x v="402"/>
  </r>
  <r>
    <x v="513"/>
    <x v="17"/>
    <x v="0"/>
    <x v="81"/>
    <x v="397"/>
    <x v="65"/>
    <x v="49"/>
    <x v="65"/>
    <x v="401"/>
    <x v="311"/>
    <x v="403"/>
  </r>
  <r>
    <x v="514"/>
    <x v="17"/>
    <x v="0"/>
    <x v="82"/>
    <x v="398"/>
    <x v="15"/>
    <x v="14"/>
    <x v="15"/>
    <x v="402"/>
    <x v="312"/>
    <x v="404"/>
  </r>
  <r>
    <x v="515"/>
    <x v="17"/>
    <x v="0"/>
    <x v="84"/>
    <x v="399"/>
    <x v="37"/>
    <x v="30"/>
    <x v="37"/>
    <x v="403"/>
    <x v="313"/>
    <x v="405"/>
  </r>
  <r>
    <x v="516"/>
    <x v="17"/>
    <x v="0"/>
    <x v="85"/>
    <x v="400"/>
    <x v="15"/>
    <x v="14"/>
    <x v="15"/>
    <x v="404"/>
    <x v="314"/>
    <x v="406"/>
  </r>
  <r>
    <x v="517"/>
    <x v="17"/>
    <x v="0"/>
    <x v="88"/>
    <x v="401"/>
    <x v="55"/>
    <x v="42"/>
    <x v="55"/>
    <x v="405"/>
    <x v="315"/>
    <x v="407"/>
  </r>
  <r>
    <x v="518"/>
    <x v="17"/>
    <x v="0"/>
    <x v="90"/>
    <x v="401"/>
    <x v="53"/>
    <x v="40"/>
    <x v="53"/>
    <x v="406"/>
    <x v="316"/>
    <x v="408"/>
  </r>
  <r>
    <x v="519"/>
    <x v="17"/>
    <x v="0"/>
    <x v="89"/>
    <x v="402"/>
    <x v="52"/>
    <x v="39"/>
    <x v="52"/>
    <x v="407"/>
    <x v="317"/>
    <x v="409"/>
  </r>
  <r>
    <x v="520"/>
    <x v="17"/>
    <x v="0"/>
    <x v="91"/>
    <x v="403"/>
    <x v="15"/>
    <x v="14"/>
    <x v="15"/>
    <x v="408"/>
    <x v="318"/>
    <x v="410"/>
  </r>
  <r>
    <x v="521"/>
    <x v="17"/>
    <x v="0"/>
    <x v="93"/>
    <x v="404"/>
    <x v="63"/>
    <x v="31"/>
    <x v="63"/>
    <x v="409"/>
    <x v="319"/>
    <x v="411"/>
  </r>
  <r>
    <x v="522"/>
    <x v="17"/>
    <x v="0"/>
    <x v="94"/>
    <x v="404"/>
    <x v="66"/>
    <x v="6"/>
    <x v="66"/>
    <x v="410"/>
    <x v="320"/>
    <x v="412"/>
  </r>
  <r>
    <x v="523"/>
    <x v="17"/>
    <x v="0"/>
    <x v="97"/>
    <x v="405"/>
    <x v="58"/>
    <x v="45"/>
    <x v="58"/>
    <x v="143"/>
    <x v="127"/>
    <x v="144"/>
  </r>
  <r>
    <x v="524"/>
    <x v="17"/>
    <x v="0"/>
    <x v="105"/>
    <x v="405"/>
    <x v="53"/>
    <x v="40"/>
    <x v="53"/>
    <x v="411"/>
    <x v="321"/>
    <x v="413"/>
  </r>
  <r>
    <x v="525"/>
    <x v="17"/>
    <x v="0"/>
    <x v="103"/>
    <x v="406"/>
    <x v="56"/>
    <x v="43"/>
    <x v="56"/>
    <x v="407"/>
    <x v="317"/>
    <x v="409"/>
  </r>
  <r>
    <x v="526"/>
    <x v="17"/>
    <x v="0"/>
    <x v="104"/>
    <x v="407"/>
    <x v="67"/>
    <x v="50"/>
    <x v="67"/>
    <x v="87"/>
    <x v="73"/>
    <x v="87"/>
  </r>
  <r>
    <x v="527"/>
    <x v="17"/>
    <x v="0"/>
    <x v="98"/>
    <x v="408"/>
    <x v="55"/>
    <x v="42"/>
    <x v="55"/>
    <x v="412"/>
    <x v="322"/>
    <x v="414"/>
  </r>
  <r>
    <x v="528"/>
    <x v="17"/>
    <x v="0"/>
    <x v="106"/>
    <x v="409"/>
    <x v="45"/>
    <x v="35"/>
    <x v="45"/>
    <x v="348"/>
    <x v="272"/>
    <x v="350"/>
  </r>
  <r>
    <x v="529"/>
    <x v="17"/>
    <x v="0"/>
    <x v="99"/>
    <x v="410"/>
    <x v="63"/>
    <x v="31"/>
    <x v="63"/>
    <x v="413"/>
    <x v="323"/>
    <x v="415"/>
  </r>
  <r>
    <x v="530"/>
    <x v="17"/>
    <x v="0"/>
    <x v="107"/>
    <x v="411"/>
    <x v="37"/>
    <x v="30"/>
    <x v="37"/>
    <x v="414"/>
    <x v="324"/>
    <x v="416"/>
  </r>
  <r>
    <x v="531"/>
    <x v="17"/>
    <x v="0"/>
    <x v="111"/>
    <x v="411"/>
    <x v="53"/>
    <x v="40"/>
    <x v="53"/>
    <x v="415"/>
    <x v="325"/>
    <x v="417"/>
  </r>
  <r>
    <x v="532"/>
    <x v="17"/>
    <x v="0"/>
    <x v="86"/>
    <x v="412"/>
    <x v="52"/>
    <x v="39"/>
    <x v="52"/>
    <x v="416"/>
    <x v="326"/>
    <x v="418"/>
  </r>
  <r>
    <x v="533"/>
    <x v="17"/>
    <x v="0"/>
    <x v="101"/>
    <x v="413"/>
    <x v="37"/>
    <x v="30"/>
    <x v="37"/>
    <x v="417"/>
    <x v="327"/>
    <x v="419"/>
  </r>
  <r>
    <x v="534"/>
    <x v="17"/>
    <x v="0"/>
    <x v="112"/>
    <x v="414"/>
    <x v="47"/>
    <x v="37"/>
    <x v="47"/>
    <x v="418"/>
    <x v="328"/>
    <x v="420"/>
  </r>
  <r>
    <x v="535"/>
    <x v="17"/>
    <x v="0"/>
    <x v="113"/>
    <x v="414"/>
    <x v="67"/>
    <x v="50"/>
    <x v="67"/>
    <x v="87"/>
    <x v="73"/>
    <x v="87"/>
  </r>
  <r>
    <x v="536"/>
    <x v="17"/>
    <x v="0"/>
    <x v="116"/>
    <x v="415"/>
    <x v="43"/>
    <x v="34"/>
    <x v="43"/>
    <x v="419"/>
    <x v="329"/>
    <x v="421"/>
  </r>
  <r>
    <x v="537"/>
    <x v="17"/>
    <x v="0"/>
    <x v="118"/>
    <x v="415"/>
    <x v="0"/>
    <x v="0"/>
    <x v="0"/>
    <x v="87"/>
    <x v="73"/>
    <x v="87"/>
  </r>
  <r>
    <x v="538"/>
    <x v="17"/>
    <x v="0"/>
    <x v="119"/>
    <x v="416"/>
    <x v="63"/>
    <x v="31"/>
    <x v="63"/>
    <x v="420"/>
    <x v="330"/>
    <x v="422"/>
  </r>
  <r>
    <x v="539"/>
    <x v="17"/>
    <x v="0"/>
    <x v="121"/>
    <x v="417"/>
    <x v="68"/>
    <x v="51"/>
    <x v="68"/>
    <x v="421"/>
    <x v="331"/>
    <x v="423"/>
  </r>
  <r>
    <x v="540"/>
    <x v="17"/>
    <x v="0"/>
    <x v="122"/>
    <x v="418"/>
    <x v="43"/>
    <x v="34"/>
    <x v="43"/>
    <x v="422"/>
    <x v="332"/>
    <x v="424"/>
  </r>
  <r>
    <x v="541"/>
    <x v="17"/>
    <x v="0"/>
    <x v="124"/>
    <x v="419"/>
    <x v="69"/>
    <x v="52"/>
    <x v="69"/>
    <x v="423"/>
    <x v="333"/>
    <x v="425"/>
  </r>
  <r>
    <x v="542"/>
    <x v="17"/>
    <x v="0"/>
    <x v="126"/>
    <x v="420"/>
    <x v="10"/>
    <x v="9"/>
    <x v="10"/>
    <x v="424"/>
    <x v="334"/>
    <x v="426"/>
  </r>
  <r>
    <x v="543"/>
    <x v="17"/>
    <x v="0"/>
    <x v="128"/>
    <x v="421"/>
    <x v="47"/>
    <x v="37"/>
    <x v="47"/>
    <x v="425"/>
    <x v="335"/>
    <x v="427"/>
  </r>
  <r>
    <x v="544"/>
    <x v="17"/>
    <x v="0"/>
    <x v="127"/>
    <x v="422"/>
    <x v="55"/>
    <x v="42"/>
    <x v="55"/>
    <x v="426"/>
    <x v="336"/>
    <x v="428"/>
  </r>
  <r>
    <x v="545"/>
    <x v="17"/>
    <x v="0"/>
    <x v="131"/>
    <x v="423"/>
    <x v="63"/>
    <x v="31"/>
    <x v="63"/>
    <x v="427"/>
    <x v="337"/>
    <x v="429"/>
  </r>
  <r>
    <x v="546"/>
    <x v="17"/>
    <x v="0"/>
    <x v="132"/>
    <x v="424"/>
    <x v="56"/>
    <x v="43"/>
    <x v="56"/>
    <x v="428"/>
    <x v="338"/>
    <x v="430"/>
  </r>
  <r>
    <x v="547"/>
    <x v="17"/>
    <x v="0"/>
    <x v="136"/>
    <x v="425"/>
    <x v="45"/>
    <x v="35"/>
    <x v="45"/>
    <x v="429"/>
    <x v="339"/>
    <x v="431"/>
  </r>
  <r>
    <x v="548"/>
    <x v="17"/>
    <x v="0"/>
    <x v="133"/>
    <x v="426"/>
    <x v="37"/>
    <x v="30"/>
    <x v="37"/>
    <x v="430"/>
    <x v="340"/>
    <x v="432"/>
  </r>
  <r>
    <x v="549"/>
    <x v="17"/>
    <x v="0"/>
    <x v="137"/>
    <x v="427"/>
    <x v="70"/>
    <x v="8"/>
    <x v="70"/>
    <x v="431"/>
    <x v="341"/>
    <x v="433"/>
  </r>
  <r>
    <x v="550"/>
    <x v="17"/>
    <x v="0"/>
    <x v="138"/>
    <x v="428"/>
    <x v="63"/>
    <x v="31"/>
    <x v="63"/>
    <x v="381"/>
    <x v="342"/>
    <x v="383"/>
  </r>
  <r>
    <x v="551"/>
    <x v="18"/>
    <x v="2"/>
    <x v="184"/>
    <x v="208"/>
    <x v="16"/>
    <x v="15"/>
    <x v="16"/>
    <x v="242"/>
    <x v="1"/>
    <x v="243"/>
  </r>
  <r>
    <x v="552"/>
    <x v="18"/>
    <x v="2"/>
    <x v="185"/>
    <x v="429"/>
    <x v="16"/>
    <x v="15"/>
    <x v="16"/>
    <x v="432"/>
    <x v="1"/>
    <x v="434"/>
  </r>
  <r>
    <x v="553"/>
    <x v="18"/>
    <x v="2"/>
    <x v="186"/>
    <x v="430"/>
    <x v="16"/>
    <x v="15"/>
    <x v="16"/>
    <x v="432"/>
    <x v="1"/>
    <x v="434"/>
  </r>
  <r>
    <x v="554"/>
    <x v="18"/>
    <x v="2"/>
    <x v="187"/>
    <x v="266"/>
    <x v="16"/>
    <x v="15"/>
    <x v="16"/>
    <x v="432"/>
    <x v="1"/>
    <x v="434"/>
  </r>
  <r>
    <x v="555"/>
    <x v="18"/>
    <x v="2"/>
    <x v="188"/>
    <x v="266"/>
    <x v="16"/>
    <x v="15"/>
    <x v="16"/>
    <x v="433"/>
    <x v="1"/>
    <x v="435"/>
  </r>
  <r>
    <x v="556"/>
    <x v="18"/>
    <x v="0"/>
    <x v="140"/>
    <x v="431"/>
    <x v="37"/>
    <x v="30"/>
    <x v="37"/>
    <x v="434"/>
    <x v="343"/>
    <x v="436"/>
  </r>
  <r>
    <x v="557"/>
    <x v="18"/>
    <x v="0"/>
    <x v="189"/>
    <x v="432"/>
    <x v="55"/>
    <x v="42"/>
    <x v="55"/>
    <x v="435"/>
    <x v="344"/>
    <x v="437"/>
  </r>
  <r>
    <x v="558"/>
    <x v="18"/>
    <x v="0"/>
    <x v="190"/>
    <x v="433"/>
    <x v="53"/>
    <x v="40"/>
    <x v="53"/>
    <x v="436"/>
    <x v="345"/>
    <x v="438"/>
  </r>
  <r>
    <x v="559"/>
    <x v="18"/>
    <x v="0"/>
    <x v="191"/>
    <x v="434"/>
    <x v="55"/>
    <x v="42"/>
    <x v="55"/>
    <x v="437"/>
    <x v="346"/>
    <x v="439"/>
  </r>
  <r>
    <x v="560"/>
    <x v="18"/>
    <x v="0"/>
    <x v="192"/>
    <x v="435"/>
    <x v="70"/>
    <x v="8"/>
    <x v="70"/>
    <x v="128"/>
    <x v="111"/>
    <x v="128"/>
  </r>
  <r>
    <x v="561"/>
    <x v="18"/>
    <x v="0"/>
    <x v="193"/>
    <x v="436"/>
    <x v="52"/>
    <x v="39"/>
    <x v="52"/>
    <x v="438"/>
    <x v="347"/>
    <x v="440"/>
  </r>
  <r>
    <x v="562"/>
    <x v="18"/>
    <x v="0"/>
    <x v="194"/>
    <x v="437"/>
    <x v="55"/>
    <x v="42"/>
    <x v="55"/>
    <x v="439"/>
    <x v="348"/>
    <x v="441"/>
  </r>
  <r>
    <x v="563"/>
    <x v="18"/>
    <x v="0"/>
    <x v="195"/>
    <x v="437"/>
    <x v="63"/>
    <x v="31"/>
    <x v="63"/>
    <x v="440"/>
    <x v="349"/>
    <x v="442"/>
  </r>
  <r>
    <x v="564"/>
    <x v="18"/>
    <x v="0"/>
    <x v="196"/>
    <x v="438"/>
    <x v="55"/>
    <x v="42"/>
    <x v="55"/>
    <x v="437"/>
    <x v="346"/>
    <x v="439"/>
  </r>
  <r>
    <x v="565"/>
    <x v="18"/>
    <x v="0"/>
    <x v="197"/>
    <x v="439"/>
    <x v="55"/>
    <x v="42"/>
    <x v="55"/>
    <x v="441"/>
    <x v="350"/>
    <x v="443"/>
  </r>
  <r>
    <x v="566"/>
    <x v="18"/>
    <x v="0"/>
    <x v="198"/>
    <x v="440"/>
    <x v="67"/>
    <x v="50"/>
    <x v="67"/>
    <x v="87"/>
    <x v="73"/>
    <x v="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n v="1"/>
    <x v="0"/>
    <x v="0"/>
    <s v="222"/>
    <s v="26.04.2021"/>
    <s v="26.04.2021"/>
    <x v="0"/>
    <s v="503601001"/>
    <x v="0"/>
    <n v="114000"/>
    <n v="19000"/>
    <m/>
  </r>
  <r>
    <n v="2"/>
    <x v="0"/>
    <x v="0"/>
    <s v="065/2021-0026400"/>
    <s v="03.06.2021"/>
    <s v="03.06.2021"/>
    <x v="1"/>
    <s v="997150001"/>
    <x v="1"/>
    <n v="2200"/>
    <n v="366.67"/>
    <m/>
  </r>
  <r>
    <n v="3"/>
    <x v="1"/>
    <x v="0"/>
    <s v="260"/>
    <s v="05.07.2021"/>
    <s v="05.07.2021"/>
    <x v="2"/>
    <s v="505001001"/>
    <x v="2"/>
    <n v="3450"/>
    <n v="575"/>
    <m/>
  </r>
  <r>
    <n v="4"/>
    <x v="1"/>
    <x v="0"/>
    <s v="420"/>
    <s v="05.07.2021"/>
    <s v="05.07.2021"/>
    <x v="0"/>
    <s v="503601001"/>
    <x v="0"/>
    <n v="414000"/>
    <n v="69000"/>
    <m/>
  </r>
  <r>
    <n v="5"/>
    <x v="1"/>
    <x v="1"/>
    <s v="А2"/>
    <s v="01.07.2021"/>
    <s v=""/>
    <x v="3"/>
    <s v="504201001"/>
    <x v="3"/>
    <n v="360500"/>
    <n v="60083.34"/>
    <m/>
  </r>
  <r>
    <n v="6"/>
    <x v="1"/>
    <x v="0"/>
    <s v="97"/>
    <s v="09.07.2021"/>
    <s v="09.07.2021"/>
    <x v="4"/>
    <s v="503201001"/>
    <x v="4"/>
    <n v="11000"/>
    <n v="1833.33"/>
    <m/>
  </r>
  <r>
    <n v="7"/>
    <x v="1"/>
    <x v="0"/>
    <s v="2146630000001"/>
    <s v="12.07.2021"/>
    <s v="12.07.2021"/>
    <x v="5"/>
    <s v="780201001"/>
    <x v="5"/>
    <n v="630"/>
    <n v="105"/>
    <m/>
  </r>
  <r>
    <n v="8"/>
    <x v="1"/>
    <x v="0"/>
    <s v="70В"/>
    <s v="16.07.2021"/>
    <s v="16.07.2021"/>
    <x v="6"/>
    <s v="614001001"/>
    <x v="6"/>
    <n v="360000"/>
    <n v="60000"/>
    <m/>
  </r>
  <r>
    <n v="9"/>
    <x v="1"/>
    <x v="0"/>
    <s v="851769"/>
    <s v="16.07.2021"/>
    <s v="16.07.2021"/>
    <x v="7"/>
    <s v="504245002"/>
    <x v="7"/>
    <n v="2590"/>
    <n v="431.67"/>
    <m/>
  </r>
  <r>
    <n v="10"/>
    <x v="1"/>
    <x v="0"/>
    <s v="2550"/>
    <s v="18.07.2021"/>
    <s v="18.07.2021"/>
    <x v="8"/>
    <s v="632001001"/>
    <x v="8"/>
    <n v="55000"/>
    <n v="9166.67"/>
    <m/>
  </r>
  <r>
    <n v="11"/>
    <x v="1"/>
    <x v="0"/>
    <s v="2415743-МСК"/>
    <s v="20.07.2021"/>
    <s v="20.07.2021"/>
    <x v="9"/>
    <s v="997750001"/>
    <x v="9"/>
    <n v="2302"/>
    <n v="383.66"/>
    <m/>
  </r>
  <r>
    <n v="12"/>
    <x v="1"/>
    <x v="0"/>
    <s v="2415757-МСК"/>
    <s v="20.07.2021"/>
    <s v="20.07.2021"/>
    <x v="9"/>
    <s v="997750001"/>
    <x v="9"/>
    <n v="888"/>
    <n v="148"/>
    <m/>
  </r>
  <r>
    <n v="13"/>
    <x v="1"/>
    <x v="0"/>
    <s v="2415724-МСК"/>
    <s v="20.07.2021"/>
    <s v="20.07.2021"/>
    <x v="9"/>
    <s v="997750001"/>
    <x v="9"/>
    <n v="4458"/>
    <n v="743"/>
    <m/>
  </r>
  <r>
    <n v="14"/>
    <x v="1"/>
    <x v="1"/>
    <s v="А1"/>
    <s v="25.05.2021"/>
    <s v=""/>
    <x v="3"/>
    <s v="504201001"/>
    <x v="3"/>
    <n v="6400"/>
    <n v="1066.67"/>
    <m/>
  </r>
  <r>
    <n v="15"/>
    <x v="1"/>
    <x v="0"/>
    <s v="117"/>
    <s v="30.07.2021"/>
    <s v="30.07.2021"/>
    <x v="4"/>
    <s v="503201001"/>
    <x v="4"/>
    <n v="13000"/>
    <n v="2166.67"/>
    <m/>
  </r>
  <r>
    <n v="16"/>
    <x v="1"/>
    <x v="0"/>
    <s v="7139"/>
    <s v="02.08.2021"/>
    <s v="02.08.2021"/>
    <x v="10"/>
    <s v="027301001"/>
    <x v="10"/>
    <n v="72000"/>
    <n v="12000"/>
    <m/>
  </r>
  <r>
    <n v="17"/>
    <x v="1"/>
    <x v="1"/>
    <s v="А3"/>
    <s v="09.07.2021"/>
    <s v=""/>
    <x v="3"/>
    <s v="504201001"/>
    <x v="3"/>
    <n v="278000"/>
    <n v="46333.33"/>
    <m/>
  </r>
  <r>
    <n v="18"/>
    <x v="1"/>
    <x v="0"/>
    <s v="2715882-МСК"/>
    <s v="10.08.2021"/>
    <s v="10.08.2021"/>
    <x v="9"/>
    <s v="997750001"/>
    <x v="9"/>
    <n v="1349"/>
    <n v="224.83"/>
    <m/>
  </r>
  <r>
    <n v="19"/>
    <x v="1"/>
    <x v="0"/>
    <s v="2715871-МСК"/>
    <s v="10.08.2021"/>
    <s v="10.08.2021"/>
    <x v="9"/>
    <s v="997750001"/>
    <x v="9"/>
    <n v="25390"/>
    <n v="4231.67"/>
    <m/>
  </r>
  <r>
    <n v="20"/>
    <x v="1"/>
    <x v="0"/>
    <s v="065/2021-0040329"/>
    <s v="13.08.2021"/>
    <s v="13.08.2021"/>
    <x v="1"/>
    <s v="997150001"/>
    <x v="1"/>
    <n v="2200"/>
    <n v="366.67"/>
    <m/>
  </r>
  <r>
    <n v="21"/>
    <x v="1"/>
    <x v="0"/>
    <s v="18"/>
    <s v="16.08.2021"/>
    <s v="16.08.2021"/>
    <x v="11"/>
    <s v="590501001"/>
    <x v="11"/>
    <n v="121260"/>
    <n v="20210"/>
    <m/>
  </r>
  <r>
    <n v="22"/>
    <x v="1"/>
    <x v="0"/>
    <s v="34"/>
    <s v="24.08.2021"/>
    <s v="24.08.2021"/>
    <x v="12"/>
    <s v="201401001"/>
    <x v="12"/>
    <n v="208950"/>
    <n v="34825"/>
    <m/>
  </r>
  <r>
    <n v="23"/>
    <x v="1"/>
    <x v="0"/>
    <s v="99"/>
    <s v="25.08.2021"/>
    <s v="25.08.2021"/>
    <x v="13"/>
    <s v="524401001"/>
    <x v="13"/>
    <n v="19000"/>
    <n v="3166.67"/>
    <m/>
  </r>
  <r>
    <n v="24"/>
    <x v="1"/>
    <x v="0"/>
    <s v="13"/>
    <s v="25.08.2021"/>
    <s v="25.08.2021"/>
    <x v="14"/>
    <s v="502901001"/>
    <x v="14"/>
    <n v="121500"/>
    <n v="20250"/>
    <m/>
  </r>
  <r>
    <n v="25"/>
    <x v="1"/>
    <x v="0"/>
    <s v="369"/>
    <s v="27.08.2021"/>
    <s v="27.08.2021"/>
    <x v="2"/>
    <s v="505001001"/>
    <x v="2"/>
    <n v="4775"/>
    <n v="795.84"/>
    <m/>
  </r>
  <r>
    <n v="26"/>
    <x v="1"/>
    <x v="0"/>
    <s v="02-21"/>
    <s v="02.09.2021"/>
    <s v="02.09.2021"/>
    <x v="15"/>
    <s v="370601001"/>
    <x v="15"/>
    <n v="10500"/>
    <n v="1750"/>
    <m/>
  </r>
  <r>
    <n v="27"/>
    <x v="1"/>
    <x v="0"/>
    <s v="67"/>
    <s v="07.09.2021"/>
    <s v="07.09.2021"/>
    <x v="16"/>
    <s v=""/>
    <x v="16"/>
    <n v="52060"/>
    <n v="8676.67"/>
    <m/>
  </r>
  <r>
    <n v="28"/>
    <x v="1"/>
    <x v="0"/>
    <s v="151"/>
    <s v="07.09.2021"/>
    <s v="07.09.2021"/>
    <x v="4"/>
    <s v="503201001"/>
    <x v="4"/>
    <n v="13800"/>
    <n v="2300"/>
    <m/>
  </r>
  <r>
    <n v="29"/>
    <x v="1"/>
    <x v="0"/>
    <s v="159"/>
    <s v="15.09.2021"/>
    <s v="15.09.2021"/>
    <x v="4"/>
    <s v="503201001"/>
    <x v="4"/>
    <n v="14400"/>
    <n v="2400"/>
    <m/>
  </r>
  <r>
    <n v="30"/>
    <x v="2"/>
    <x v="0"/>
    <s v="27503"/>
    <s v="01.10.2021"/>
    <s v="01.10.2021"/>
    <x v="17"/>
    <s v="500101001"/>
    <x v="17"/>
    <n v="12000"/>
    <n v="2000"/>
    <m/>
  </r>
  <r>
    <n v="31"/>
    <x v="2"/>
    <x v="0"/>
    <s v="375"/>
    <s v="01.10.2021"/>
    <s v="01.10.2021"/>
    <x v="18"/>
    <s v="761001001"/>
    <x v="18"/>
    <n v="90350"/>
    <n v="15058.33"/>
    <m/>
  </r>
  <r>
    <n v="32"/>
    <x v="2"/>
    <x v="0"/>
    <s v="038"/>
    <s v="20.10.2021"/>
    <s v="20.10.2021"/>
    <x v="19"/>
    <s v=""/>
    <x v="19"/>
    <n v="496761"/>
    <n v="82793.5"/>
    <m/>
  </r>
  <r>
    <n v="33"/>
    <x v="2"/>
    <x v="0"/>
    <s v="256"/>
    <s v="20.10.2021"/>
    <s v="20.10.2021"/>
    <x v="20"/>
    <s v="503001001"/>
    <x v="20"/>
    <n v="215000"/>
    <n v="35833.33"/>
    <m/>
  </r>
  <r>
    <n v="34"/>
    <x v="2"/>
    <x v="0"/>
    <s v="83"/>
    <s v="20.10.2021"/>
    <s v="20.10.2021"/>
    <x v="21"/>
    <s v="575201001"/>
    <x v="21"/>
    <n v="37000"/>
    <n v="6166.67"/>
    <m/>
  </r>
  <r>
    <n v="35"/>
    <x v="2"/>
    <x v="0"/>
    <s v="14"/>
    <s v="28.10.2021"/>
    <s v="28.10.2021"/>
    <x v="22"/>
    <s v="770301001"/>
    <x v="22"/>
    <n v="13800"/>
    <n v="2300"/>
    <m/>
  </r>
  <r>
    <n v="36"/>
    <x v="2"/>
    <x v="0"/>
    <s v="21"/>
    <s v="01.11.2021"/>
    <s v="01.11.2021"/>
    <x v="11"/>
    <s v="590501001"/>
    <x v="11"/>
    <n v="42000"/>
    <n v="7000"/>
    <m/>
  </r>
  <r>
    <n v="37"/>
    <x v="2"/>
    <x v="0"/>
    <s v="4042863-МСК"/>
    <s v="03.11.2021"/>
    <s v="03.11.2021"/>
    <x v="9"/>
    <s v="997750001"/>
    <x v="9"/>
    <n v="1002"/>
    <n v="167"/>
    <m/>
  </r>
  <r>
    <n v="38"/>
    <x v="2"/>
    <x v="0"/>
    <s v="22"/>
    <s v="04.11.2021"/>
    <s v="04.11.2021"/>
    <x v="22"/>
    <s v="770301001"/>
    <x v="22"/>
    <n v="15200"/>
    <n v="2533.33"/>
    <m/>
  </r>
  <r>
    <n v="39"/>
    <x v="2"/>
    <x v="0"/>
    <s v="4157337-МСК"/>
    <s v="11.11.2021"/>
    <s v="11.11.2021"/>
    <x v="9"/>
    <s v="997750001"/>
    <x v="9"/>
    <n v="992"/>
    <n v="165.33"/>
    <m/>
  </r>
  <r>
    <n v="40"/>
    <x v="2"/>
    <x v="0"/>
    <s v="22"/>
    <s v="19.11.2021"/>
    <s v="19.11.2021"/>
    <x v="11"/>
    <s v="590501001"/>
    <x v="11"/>
    <n v="27000"/>
    <n v="4500"/>
    <m/>
  </r>
  <r>
    <n v="41"/>
    <x v="2"/>
    <x v="0"/>
    <s v="4382385-МСК"/>
    <s v="22.11.2021"/>
    <s v="22.11.2021"/>
    <x v="9"/>
    <s v="997750001"/>
    <x v="9"/>
    <n v="1776"/>
    <n v="296"/>
    <m/>
  </r>
  <r>
    <n v="42"/>
    <x v="2"/>
    <x v="0"/>
    <s v="3892/1"/>
    <s v="30.11.2021"/>
    <s v="30.11.2021"/>
    <x v="23"/>
    <s v="772401001"/>
    <x v="23"/>
    <n v="162610"/>
    <n v="27101.67"/>
    <m/>
  </r>
  <r>
    <n v="43"/>
    <x v="2"/>
    <x v="0"/>
    <s v="3909"/>
    <s v="30.11.2021"/>
    <s v="30.11.2021"/>
    <x v="23"/>
    <s v="772401001"/>
    <x v="23"/>
    <n v="139840"/>
    <n v="23306.67"/>
    <m/>
  </r>
  <r>
    <n v="44"/>
    <x v="2"/>
    <x v="1"/>
    <s v="А4"/>
    <s v="20.10.2021"/>
    <s v=""/>
    <x v="3"/>
    <s v="504201001"/>
    <x v="3"/>
    <n v="656000"/>
    <n v="109333.33"/>
    <m/>
  </r>
  <r>
    <n v="45"/>
    <x v="2"/>
    <x v="0"/>
    <s v="50"/>
    <s v="30.11.2021"/>
    <s v="30.11.2021"/>
    <x v="22"/>
    <s v="770301001"/>
    <x v="22"/>
    <n v="20000"/>
    <n v="3333.33"/>
    <m/>
  </r>
  <r>
    <n v="46"/>
    <x v="2"/>
    <x v="0"/>
    <s v="905"/>
    <s v="30.12.2021"/>
    <s v="30.12.2021"/>
    <x v="0"/>
    <s v="503601001"/>
    <x v="0"/>
    <n v="440000"/>
    <n v="73333.33"/>
    <m/>
  </r>
  <r>
    <n v="47"/>
    <x v="3"/>
    <x v="1"/>
    <s v="А5"/>
    <s v="15.11.2021"/>
    <s v=""/>
    <x v="3"/>
    <s v="504201001"/>
    <x v="3"/>
    <n v="31400"/>
    <n v="5233.34"/>
    <m/>
  </r>
  <r>
    <n v="48"/>
    <x v="3"/>
    <x v="0"/>
    <s v="61"/>
    <s v="11.01.2022"/>
    <s v="11.01.2022"/>
    <x v="24"/>
    <s v="771701001"/>
    <x v="24"/>
    <n v="4000"/>
    <n v="666.67"/>
    <m/>
  </r>
  <r>
    <n v="49"/>
    <x v="3"/>
    <x v="1"/>
    <s v="А6"/>
    <s v="02.12.2021"/>
    <s v=""/>
    <x v="3"/>
    <s v="504201001"/>
    <x v="3"/>
    <n v="80000"/>
    <n v="13333.33"/>
    <m/>
  </r>
  <r>
    <n v="50"/>
    <x v="3"/>
    <x v="1"/>
    <s v="А7"/>
    <s v="16.12.2021"/>
    <s v=""/>
    <x v="3"/>
    <s v="504201001"/>
    <x v="3"/>
    <n v="160000"/>
    <n v="26666.67"/>
    <m/>
  </r>
  <r>
    <n v="51"/>
    <x v="3"/>
    <x v="0"/>
    <s v="1"/>
    <s v="23.01.2022"/>
    <s v="23.01.2022"/>
    <x v="25"/>
    <s v="760901001"/>
    <x v="25"/>
    <n v="155700"/>
    <n v="25950"/>
    <m/>
  </r>
  <r>
    <n v="52"/>
    <x v="3"/>
    <x v="0"/>
    <s v="СТ1222501"/>
    <s v="24.01.2022"/>
    <s v="24.01.2022"/>
    <x v="26"/>
    <s v="775101001"/>
    <x v="26"/>
    <n v="389540"/>
    <n v="64923.33"/>
    <m/>
  </r>
  <r>
    <n v="53"/>
    <x v="3"/>
    <x v="1"/>
    <s v="А8"/>
    <s v="24.12.2021"/>
    <s v=""/>
    <x v="3"/>
    <s v="504201001"/>
    <x v="3"/>
    <n v="160000"/>
    <n v="26666.67"/>
    <m/>
  </r>
  <r>
    <n v="54"/>
    <x v="3"/>
    <x v="1"/>
    <s v="А1"/>
    <s v="18.01.2022"/>
    <s v=""/>
    <x v="3"/>
    <s v="504201001"/>
    <x v="3"/>
    <n v="324000"/>
    <n v="54000"/>
    <m/>
  </r>
  <r>
    <n v="55"/>
    <x v="3"/>
    <x v="0"/>
    <s v="0312199-МСК"/>
    <s v="27.01.2022"/>
    <s v="27.01.2022"/>
    <x v="9"/>
    <s v="997750001"/>
    <x v="9"/>
    <n v="2360"/>
    <n v="393.33"/>
    <m/>
  </r>
  <r>
    <n v="56"/>
    <x v="3"/>
    <x v="0"/>
    <s v="1047"/>
    <s v="26.11.2021"/>
    <s v="28.01.2022"/>
    <x v="27"/>
    <s v="772001001"/>
    <x v="27"/>
    <n v="28000"/>
    <n v="4666.67"/>
    <m/>
  </r>
  <r>
    <n v="57"/>
    <x v="3"/>
    <x v="1"/>
    <s v="А3"/>
    <s v="30.01.2022"/>
    <s v=""/>
    <x v="3"/>
    <s v="504201001"/>
    <x v="3"/>
    <n v="81000"/>
    <n v="13500"/>
    <m/>
  </r>
  <r>
    <n v="58"/>
    <x v="3"/>
    <x v="0"/>
    <s v="4"/>
    <s v="03.02.2022"/>
    <s v="03.02.2022"/>
    <x v="28"/>
    <s v="463201001"/>
    <x v="28"/>
    <n v="190465"/>
    <n v="31744.17"/>
    <m/>
  </r>
  <r>
    <n v="59"/>
    <x v="3"/>
    <x v="0"/>
    <s v="0535093-МСК"/>
    <s v="09.02.2022"/>
    <s v="09.02.2022"/>
    <x v="9"/>
    <s v="997750001"/>
    <x v="9"/>
    <n v="28375"/>
    <n v="4729.16"/>
    <m/>
  </r>
  <r>
    <n v="60"/>
    <x v="3"/>
    <x v="1"/>
    <s v="А2"/>
    <s v="29.01.2022"/>
    <s v=""/>
    <x v="3"/>
    <s v="504201001"/>
    <x v="3"/>
    <n v="350000"/>
    <n v="58333.33"/>
    <m/>
  </r>
  <r>
    <n v="61"/>
    <x v="3"/>
    <x v="1"/>
    <s v="А4"/>
    <s v="06.02.2022"/>
    <s v=""/>
    <x v="3"/>
    <s v="504201001"/>
    <x v="3"/>
    <n v="81000"/>
    <n v="13500"/>
    <m/>
  </r>
  <r>
    <n v="62"/>
    <x v="3"/>
    <x v="0"/>
    <s v="4"/>
    <s v="17.02.2022"/>
    <s v="17.02.2022"/>
    <x v="11"/>
    <s v="590501001"/>
    <x v="11"/>
    <n v="33761"/>
    <n v="5626.83"/>
    <m/>
  </r>
  <r>
    <n v="63"/>
    <x v="3"/>
    <x v="0"/>
    <s v="400"/>
    <s v="17.02.2022"/>
    <s v="17.02.2022"/>
    <x v="23"/>
    <s v="772401001"/>
    <x v="23"/>
    <n v="26400"/>
    <n v="4400"/>
    <m/>
  </r>
  <r>
    <n v="64"/>
    <x v="3"/>
    <x v="0"/>
    <s v="СТ1222675"/>
    <s v="18.02.2022"/>
    <s v="18.02.2022"/>
    <x v="26"/>
    <s v="775101001"/>
    <x v="26"/>
    <n v="419626"/>
    <n v="69937.67"/>
    <m/>
  </r>
  <r>
    <n v="65"/>
    <x v="3"/>
    <x v="1"/>
    <s v="А5"/>
    <s v="12.02.2022"/>
    <s v=""/>
    <x v="3"/>
    <s v="504201001"/>
    <x v="3"/>
    <n v="73062"/>
    <n v="12177"/>
    <m/>
  </r>
  <r>
    <n v="66"/>
    <x v="3"/>
    <x v="1"/>
    <s v="А6"/>
    <s v="20.02.2022"/>
    <s v=""/>
    <x v="3"/>
    <s v="504201001"/>
    <x v="3"/>
    <n v="82000"/>
    <n v="13666.67"/>
    <m/>
  </r>
  <r>
    <n v="67"/>
    <x v="3"/>
    <x v="0"/>
    <s v="1032792-МСК"/>
    <s v="10.03.2022"/>
    <s v="10.03.2022"/>
    <x v="9"/>
    <s v="997750001"/>
    <x v="9"/>
    <n v="4059"/>
    <n v="676.5"/>
    <m/>
  </r>
  <r>
    <n v="68"/>
    <x v="3"/>
    <x v="0"/>
    <s v="690"/>
    <s v="15.03.2022"/>
    <s v="15.03.2022"/>
    <x v="23"/>
    <s v="772401001"/>
    <x v="23"/>
    <n v="21312"/>
    <n v="3552"/>
    <m/>
  </r>
  <r>
    <n v="69"/>
    <x v="3"/>
    <x v="2"/>
    <s v="А05"/>
    <s v="16.03.2022"/>
    <s v=""/>
    <x v="29"/>
    <s v="504201001"/>
    <x v="29"/>
    <n v="17993"/>
    <n v="2998.83"/>
    <m/>
  </r>
  <r>
    <n v="70"/>
    <x v="3"/>
    <x v="0"/>
    <s v="23"/>
    <s v="18.03.2022"/>
    <s v="18.03.2022"/>
    <x v="30"/>
    <s v="891101001"/>
    <x v="30"/>
    <n v="137942"/>
    <n v="22990.33"/>
    <m/>
  </r>
  <r>
    <n v="71"/>
    <x v="3"/>
    <x v="0"/>
    <s v="182"/>
    <s v="21.03.2022"/>
    <s v="21.03.2022"/>
    <x v="31"/>
    <s v="213001001"/>
    <x v="31"/>
    <n v="27000"/>
    <n v="4500"/>
    <m/>
  </r>
  <r>
    <n v="72"/>
    <x v="3"/>
    <x v="0"/>
    <s v="84"/>
    <s v="30.12.2021"/>
    <s v="25.03.2022"/>
    <x v="22"/>
    <s v="770301001"/>
    <x v="22"/>
    <n v="27500"/>
    <n v="4583.33"/>
    <m/>
  </r>
  <r>
    <n v="73"/>
    <x v="3"/>
    <x v="0"/>
    <s v="50"/>
    <s v="31.03.2022"/>
    <s v="31.03.2022"/>
    <x v="32"/>
    <s v="771801001"/>
    <x v="32"/>
    <n v="88245"/>
    <n v="14707.5"/>
    <m/>
  </r>
  <r>
    <n v="74"/>
    <x v="4"/>
    <x v="0"/>
    <s v="1563024-МСК"/>
    <s v="11.04.2022"/>
    <s v="11.04.2022"/>
    <x v="9"/>
    <s v="997750001"/>
    <x v="9"/>
    <n v="6584"/>
    <n v="1097.34"/>
    <m/>
  </r>
  <r>
    <n v="75"/>
    <x v="4"/>
    <x v="0"/>
    <s v="11806"/>
    <s v="28.04.2022"/>
    <s v="28.04.2022"/>
    <x v="17"/>
    <s v="500101001"/>
    <x v="17"/>
    <n v="144950"/>
    <n v="24158.33"/>
    <m/>
  </r>
  <r>
    <n v="76"/>
    <x v="4"/>
    <x v="0"/>
    <s v="04300002"/>
    <s v="30.04.2022"/>
    <s v="30.04.2022"/>
    <x v="33"/>
    <s v="770301001"/>
    <x v="33"/>
    <n v="354000"/>
    <n v="59000"/>
    <m/>
  </r>
  <r>
    <n v="77"/>
    <x v="4"/>
    <x v="0"/>
    <s v="182"/>
    <s v="07.05.2022"/>
    <s v="07.05.2022"/>
    <x v="34"/>
    <s v="165601001"/>
    <x v="34"/>
    <n v="80000"/>
    <n v="13333.33"/>
    <m/>
  </r>
  <r>
    <n v="78"/>
    <x v="4"/>
    <x v="0"/>
    <s v="05100001"/>
    <s v="10.05.2022"/>
    <s v="10.05.2022"/>
    <x v="33"/>
    <s v="770301001"/>
    <x v="33"/>
    <n v="302448"/>
    <n v="50408"/>
    <m/>
  </r>
  <r>
    <n v="79"/>
    <x v="4"/>
    <x v="0"/>
    <s v="224"/>
    <s v="11.05.2022"/>
    <s v="11.05.2022"/>
    <x v="35"/>
    <s v="771501001"/>
    <x v="35"/>
    <n v="20000"/>
    <n v="3333.33"/>
    <m/>
  </r>
  <r>
    <n v="80"/>
    <x v="4"/>
    <x v="0"/>
    <s v="77"/>
    <s v="18.05.2022"/>
    <s v="18.05.2022"/>
    <x v="22"/>
    <s v="770301001"/>
    <x v="22"/>
    <n v="13500"/>
    <n v="2250"/>
    <m/>
  </r>
  <r>
    <n v="81"/>
    <x v="4"/>
    <x v="0"/>
    <s v="180522-0001"/>
    <s v="18.05.2022"/>
    <s v="18.05.2022"/>
    <x v="36"/>
    <s v="772901001"/>
    <x v="36"/>
    <n v="248160"/>
    <n v="41360"/>
    <m/>
  </r>
  <r>
    <n v="82"/>
    <x v="4"/>
    <x v="0"/>
    <s v="1063"/>
    <s v="19.05.2022"/>
    <s v="19.05.2022"/>
    <x v="37"/>
    <s v="771501001"/>
    <x v="37"/>
    <n v="10180"/>
    <n v="1696.67"/>
    <m/>
  </r>
  <r>
    <n v="83"/>
    <x v="4"/>
    <x v="0"/>
    <s v="26"/>
    <s v="23.05.2022"/>
    <s v="23.05.2022"/>
    <x v="38"/>
    <s v="564401001"/>
    <x v="38"/>
    <n v="12000"/>
    <n v="2000"/>
    <m/>
  </r>
  <r>
    <n v="84"/>
    <x v="4"/>
    <x v="0"/>
    <s v="4242"/>
    <s v="24.05.2022"/>
    <s v="24.05.2022"/>
    <x v="39"/>
    <s v="503801001"/>
    <x v="39"/>
    <n v="10200"/>
    <n v="1700"/>
    <m/>
  </r>
  <r>
    <n v="85"/>
    <x v="4"/>
    <x v="0"/>
    <s v="1483467/0008"/>
    <s v="25.05.2022"/>
    <s v="25.05.2022"/>
    <x v="40"/>
    <s v="997650001"/>
    <x v="40"/>
    <n v="699"/>
    <n v="99"/>
    <m/>
  </r>
  <r>
    <n v="86"/>
    <x v="4"/>
    <x v="0"/>
    <s v="05300001"/>
    <s v="30.05.2022"/>
    <s v="30.05.2022"/>
    <x v="33"/>
    <s v="770301001"/>
    <x v="33"/>
    <n v="474222"/>
    <n v="79037"/>
    <m/>
  </r>
  <r>
    <n v="87"/>
    <x v="4"/>
    <x v="0"/>
    <s v="33"/>
    <s v="31.05.2022"/>
    <s v="31.05.2022"/>
    <x v="38"/>
    <s v="564401001"/>
    <x v="38"/>
    <n v="33000"/>
    <n v="5500"/>
    <m/>
  </r>
  <r>
    <n v="88"/>
    <x v="4"/>
    <x v="0"/>
    <s v="385"/>
    <s v="31.05.2022"/>
    <s v="31.05.2022"/>
    <x v="41"/>
    <s v="370201001"/>
    <x v="41"/>
    <n v="603144"/>
    <n v="100524"/>
    <m/>
  </r>
  <r>
    <n v="89"/>
    <x v="4"/>
    <x v="0"/>
    <s v="00000016"/>
    <s v="01.06.2022"/>
    <s v="01.06.2022"/>
    <x v="29"/>
    <s v="504201001"/>
    <x v="29"/>
    <n v="42000"/>
    <n v="7000"/>
    <m/>
  </r>
  <r>
    <n v="90"/>
    <x v="4"/>
    <x v="0"/>
    <s v="30622-0001"/>
    <s v="03.06.2022"/>
    <s v="03.06.2022"/>
    <x v="36"/>
    <s v="772901001"/>
    <x v="36"/>
    <n v="276450"/>
    <n v="46075"/>
    <m/>
  </r>
  <r>
    <n v="91"/>
    <x v="4"/>
    <x v="0"/>
    <s v="15403"/>
    <s v="03.06.2022"/>
    <s v="03.06.2022"/>
    <x v="17"/>
    <s v="500101001"/>
    <x v="17"/>
    <n v="17500"/>
    <n v="2916.67"/>
    <m/>
  </r>
  <r>
    <n v="92"/>
    <x v="4"/>
    <x v="0"/>
    <s v="2543503-МСК"/>
    <s v="03.06.2022"/>
    <s v="03.06.2022"/>
    <x v="9"/>
    <s v="997750001"/>
    <x v="9"/>
    <n v="2610"/>
    <n v="435"/>
    <m/>
  </r>
  <r>
    <n v="93"/>
    <x v="4"/>
    <x v="0"/>
    <s v="042"/>
    <s v="03.06.2022"/>
    <s v="03.06.2022"/>
    <x v="19"/>
    <s v=""/>
    <x v="19"/>
    <n v="366300"/>
    <n v="61050"/>
    <m/>
  </r>
  <r>
    <n v="94"/>
    <x v="4"/>
    <x v="0"/>
    <s v="82"/>
    <s v="03.06.2022"/>
    <s v="03.06.2022"/>
    <x v="22"/>
    <s v="770301001"/>
    <x v="22"/>
    <n v="13000"/>
    <n v="2166.67"/>
    <m/>
  </r>
  <r>
    <n v="95"/>
    <x v="4"/>
    <x v="0"/>
    <s v="1018055/0103"/>
    <s v="03.06.2022"/>
    <s v="03.06.2022"/>
    <x v="40"/>
    <s v="997650001"/>
    <x v="40"/>
    <n v="1123"/>
    <n v="171.17"/>
    <m/>
  </r>
  <r>
    <n v="96"/>
    <x v="4"/>
    <x v="0"/>
    <s v="397"/>
    <s v="08.06.2022"/>
    <s v="08.06.2022"/>
    <x v="0"/>
    <s v="503601001"/>
    <x v="0"/>
    <n v="889895"/>
    <n v="148315.83"/>
    <m/>
  </r>
  <r>
    <n v="97"/>
    <x v="4"/>
    <x v="0"/>
    <s v="46"/>
    <s v="08.06.2022"/>
    <s v="08.06.2022"/>
    <x v="38"/>
    <s v="564401001"/>
    <x v="38"/>
    <n v="20000"/>
    <n v="3333.33"/>
    <m/>
  </r>
  <r>
    <n v="98"/>
    <x v="4"/>
    <x v="2"/>
    <s v="А9"/>
    <s v="09.06.2022"/>
    <s v=""/>
    <x v="42"/>
    <s v="673201001"/>
    <x v="42"/>
    <n v="54000"/>
    <n v="9000"/>
    <m/>
  </r>
  <r>
    <n v="99"/>
    <x v="4"/>
    <x v="0"/>
    <s v="50"/>
    <s v="09.06.2022"/>
    <s v="09.06.2022"/>
    <x v="38"/>
    <s v="564401001"/>
    <x v="38"/>
    <n v="6500"/>
    <n v="1083.33"/>
    <m/>
  </r>
  <r>
    <n v="100"/>
    <x v="4"/>
    <x v="0"/>
    <s v="76"/>
    <s v="15.06.2022"/>
    <s v="15.06.2022"/>
    <x v="43"/>
    <s v="760201001"/>
    <x v="43"/>
    <n v="141839"/>
    <n v="23639.83"/>
    <m/>
  </r>
  <r>
    <n v="101"/>
    <x v="4"/>
    <x v="0"/>
    <s v="16601"/>
    <s v="15.06.2022"/>
    <s v="15.06.2022"/>
    <x v="17"/>
    <s v="500101001"/>
    <x v="17"/>
    <n v="302260"/>
    <n v="50376.67"/>
    <m/>
  </r>
  <r>
    <n v="102"/>
    <x v="4"/>
    <x v="0"/>
    <s v="5079"/>
    <s v="17.06.2022"/>
    <s v="17.06.2022"/>
    <x v="39"/>
    <s v="503801001"/>
    <x v="39"/>
    <n v="30000"/>
    <n v="5000"/>
    <m/>
  </r>
  <r>
    <n v="103"/>
    <x v="4"/>
    <x v="0"/>
    <s v="9"/>
    <s v="18.06.2022"/>
    <s v="18.06.2022"/>
    <x v="44"/>
    <s v="055401001"/>
    <x v="44"/>
    <n v="592705"/>
    <n v="98784.16"/>
    <m/>
  </r>
  <r>
    <n v="104"/>
    <x v="4"/>
    <x v="0"/>
    <s v="17201"/>
    <s v="21.06.2022"/>
    <s v="21.06.2022"/>
    <x v="17"/>
    <s v="500101001"/>
    <x v="17"/>
    <n v="35000"/>
    <n v="5833.33"/>
    <m/>
  </r>
  <r>
    <n v="105"/>
    <x v="4"/>
    <x v="0"/>
    <s v="62"/>
    <s v="21.06.2022"/>
    <s v="21.06.2022"/>
    <x v="30"/>
    <s v="891101001"/>
    <x v="30"/>
    <n v="118345.5"/>
    <n v="19724.25"/>
    <m/>
  </r>
  <r>
    <n v="106"/>
    <x v="4"/>
    <x v="0"/>
    <s v="480"/>
    <s v="22.06.2022"/>
    <s v="22.06.2022"/>
    <x v="45"/>
    <s v="213001001"/>
    <x v="45"/>
    <n v="28000"/>
    <n v="4666.67"/>
    <m/>
  </r>
  <r>
    <n v="107"/>
    <x v="4"/>
    <x v="0"/>
    <s v="2943778-МСК"/>
    <s v="22.06.2022"/>
    <s v="22.06.2022"/>
    <x v="9"/>
    <s v="997750001"/>
    <x v="9"/>
    <n v="3900"/>
    <n v="650"/>
    <m/>
  </r>
  <r>
    <n v="108"/>
    <x v="4"/>
    <x v="0"/>
    <s v="85"/>
    <s v="23.06.2022"/>
    <s v="23.06.2022"/>
    <x v="22"/>
    <s v="770301001"/>
    <x v="22"/>
    <n v="13500"/>
    <n v="2250"/>
    <m/>
  </r>
  <r>
    <n v="109"/>
    <x v="4"/>
    <x v="0"/>
    <s v="78"/>
    <s v="27.06.2022"/>
    <s v="27.06.2022"/>
    <x v="38"/>
    <s v="564401001"/>
    <x v="38"/>
    <n v="30000"/>
    <n v="5000"/>
    <m/>
  </r>
  <r>
    <n v="110"/>
    <x v="4"/>
    <x v="0"/>
    <s v="399"/>
    <s v="27.06.2022"/>
    <s v="27.06.2022"/>
    <x v="41"/>
    <s v="370201001"/>
    <x v="41"/>
    <n v="340000"/>
    <n v="56666.67"/>
    <m/>
  </r>
  <r>
    <n v="111"/>
    <x v="4"/>
    <x v="0"/>
    <s v="3034"/>
    <s v="29.06.2022"/>
    <s v="29.06.2022"/>
    <x v="46"/>
    <s v="780401001"/>
    <x v="46"/>
    <n v="3096.18"/>
    <n v="516.03"/>
    <m/>
  </r>
  <r>
    <n v="112"/>
    <x v="4"/>
    <x v="0"/>
    <s v="18003"/>
    <s v="29.06.2022"/>
    <s v="29.06.2022"/>
    <x v="17"/>
    <s v="500101001"/>
    <x v="17"/>
    <n v="200640"/>
    <n v="33440"/>
    <m/>
  </r>
  <r>
    <n v="113"/>
    <x v="5"/>
    <x v="0"/>
    <s v="00000219"/>
    <s v="22.02.2022"/>
    <s v="22.02.2022"/>
    <x v="47"/>
    <s v="213001001"/>
    <x v="47"/>
    <n v="20000"/>
    <n v="3333.33"/>
    <m/>
  </r>
  <r>
    <n v="114"/>
    <x v="5"/>
    <x v="0"/>
    <s v="3154285-МСК"/>
    <s v="01.07.2022"/>
    <s v="01.07.2022"/>
    <x v="9"/>
    <s v="997750001"/>
    <x v="9"/>
    <n v="3915"/>
    <n v="652.5"/>
    <m/>
  </r>
  <r>
    <n v="115"/>
    <x v="5"/>
    <x v="0"/>
    <s v="3154287-МСК"/>
    <s v="01.07.2022"/>
    <s v="01.07.2022"/>
    <x v="9"/>
    <s v="997750001"/>
    <x v="9"/>
    <n v="7728"/>
    <n v="1288"/>
    <m/>
  </r>
  <r>
    <n v="116"/>
    <x v="5"/>
    <x v="0"/>
    <s v="408"/>
    <s v="04.07.2022"/>
    <s v="04.07.2022"/>
    <x v="41"/>
    <s v="370201001"/>
    <x v="41"/>
    <n v="592020"/>
    <n v="98670"/>
    <m/>
  </r>
  <r>
    <n v="117"/>
    <x v="5"/>
    <x v="0"/>
    <s v="91"/>
    <s v="04.07.2022"/>
    <s v="04.07.2022"/>
    <x v="38"/>
    <s v="564401001"/>
    <x v="38"/>
    <n v="30000"/>
    <n v="5000"/>
    <m/>
  </r>
  <r>
    <n v="118"/>
    <x v="5"/>
    <x v="0"/>
    <s v="1372289/0001"/>
    <s v="05.07.2022"/>
    <s v="05.07.2022"/>
    <x v="40"/>
    <s v="997650001"/>
    <x v="40"/>
    <n v="556"/>
    <n v="74"/>
    <m/>
  </r>
  <r>
    <n v="119"/>
    <x v="5"/>
    <x v="0"/>
    <s v="80722-0001"/>
    <s v="08.07.2022"/>
    <s v="08.07.2022"/>
    <x v="36"/>
    <s v="772901001"/>
    <x v="36"/>
    <n v="173325"/>
    <n v="28887.5"/>
    <m/>
  </r>
  <r>
    <n v="120"/>
    <x v="5"/>
    <x v="0"/>
    <s v="93"/>
    <s v="08.07.2022"/>
    <s v="08.07.2022"/>
    <x v="38"/>
    <s v="564401001"/>
    <x v="38"/>
    <n v="12000"/>
    <n v="2000"/>
    <m/>
  </r>
  <r>
    <n v="121"/>
    <x v="5"/>
    <x v="0"/>
    <s v="3310423-МСК"/>
    <s v="08.07.2022"/>
    <s v="08.07.2022"/>
    <x v="9"/>
    <s v="997750001"/>
    <x v="9"/>
    <n v="5458"/>
    <n v="909.67"/>
    <m/>
  </r>
  <r>
    <n v="122"/>
    <x v="5"/>
    <x v="0"/>
    <s v="440"/>
    <s v="11.07.2022"/>
    <s v="11.07.2022"/>
    <x v="41"/>
    <s v="370201001"/>
    <x v="41"/>
    <n v="664900"/>
    <n v="110816.67"/>
    <m/>
  </r>
  <r>
    <n v="123"/>
    <x v="5"/>
    <x v="0"/>
    <s v="5803"/>
    <s v="14.07.2022"/>
    <s v="14.07.2022"/>
    <x v="24"/>
    <s v="771701001"/>
    <x v="24"/>
    <n v="2650"/>
    <n v="441.66"/>
    <m/>
  </r>
  <r>
    <n v="124"/>
    <x v="5"/>
    <x v="0"/>
    <s v="1109363/0351"/>
    <s v="19.07.2022"/>
    <s v="19.07.2022"/>
    <x v="40"/>
    <s v="997650001"/>
    <x v="40"/>
    <n v="607"/>
    <n v="88.83"/>
    <m/>
  </r>
  <r>
    <n v="125"/>
    <x v="5"/>
    <x v="0"/>
    <s v="20103"/>
    <s v="20.07.2022"/>
    <s v="20.07.2022"/>
    <x v="17"/>
    <s v="500101001"/>
    <x v="17"/>
    <n v="238260"/>
    <n v="39710"/>
    <m/>
  </r>
  <r>
    <n v="126"/>
    <x v="5"/>
    <x v="0"/>
    <s v="451"/>
    <s v="20.07.2022"/>
    <s v="20.07.2022"/>
    <x v="42"/>
    <s v="673201001"/>
    <x v="42"/>
    <n v="106920"/>
    <n v="17820"/>
    <m/>
  </r>
  <r>
    <n v="127"/>
    <x v="5"/>
    <x v="0"/>
    <s v="133"/>
    <s v="21.07.2022"/>
    <s v="21.07.2022"/>
    <x v="38"/>
    <s v="564401001"/>
    <x v="38"/>
    <n v="50000"/>
    <n v="8333.33"/>
    <m/>
  </r>
  <r>
    <n v="128"/>
    <x v="5"/>
    <x v="0"/>
    <s v="134"/>
    <s v="22.07.2022"/>
    <s v="22.07.2022"/>
    <x v="38"/>
    <s v="564401001"/>
    <x v="38"/>
    <n v="20000"/>
    <n v="3333.33"/>
    <m/>
  </r>
  <r>
    <n v="129"/>
    <x v="5"/>
    <x v="0"/>
    <s v="216"/>
    <s v="22.07.2022"/>
    <s v="22.07.2022"/>
    <x v="48"/>
    <s v="732501001"/>
    <x v="48"/>
    <n v="618096"/>
    <n v="103016"/>
    <m/>
  </r>
  <r>
    <n v="130"/>
    <x v="5"/>
    <x v="0"/>
    <s v="142"/>
    <s v="25.07.2022"/>
    <s v="25.07.2022"/>
    <x v="38"/>
    <s v="564401001"/>
    <x v="38"/>
    <n v="6500"/>
    <n v="1083.33"/>
    <m/>
  </r>
  <r>
    <n v="131"/>
    <x v="5"/>
    <x v="0"/>
    <s v="22"/>
    <s v="01.08.2022"/>
    <s v="01.08.2022"/>
    <x v="14"/>
    <s v="502901001"/>
    <x v="14"/>
    <n v="125000"/>
    <n v="20833.33"/>
    <m/>
  </r>
  <r>
    <n v="132"/>
    <x v="5"/>
    <x v="0"/>
    <s v="490"/>
    <s v="01.08.2022"/>
    <s v="01.08.2022"/>
    <x v="41"/>
    <s v="370201001"/>
    <x v="41"/>
    <n v="611688"/>
    <n v="101948"/>
    <m/>
  </r>
  <r>
    <n v="133"/>
    <x v="5"/>
    <x v="0"/>
    <s v="3812586-МСК"/>
    <s v="01.08.2022"/>
    <s v="01.08.2022"/>
    <x v="9"/>
    <s v="997750001"/>
    <x v="9"/>
    <n v="5406"/>
    <n v="901"/>
    <m/>
  </r>
  <r>
    <n v="134"/>
    <x v="5"/>
    <x v="0"/>
    <s v="156"/>
    <s v="02.08.2022"/>
    <s v="02.08.2022"/>
    <x v="38"/>
    <s v="564401001"/>
    <x v="38"/>
    <n v="28000"/>
    <n v="4666.67"/>
    <m/>
  </r>
  <r>
    <n v="135"/>
    <x v="5"/>
    <x v="0"/>
    <s v="801-190744"/>
    <s v="02.08.2022"/>
    <s v="02.08.2022"/>
    <x v="49"/>
    <s v="784201001"/>
    <x v="49"/>
    <n v="3835.24"/>
    <n v="639.21"/>
    <m/>
  </r>
  <r>
    <n v="136"/>
    <x v="5"/>
    <x v="0"/>
    <s v="492"/>
    <s v="05.08.2022"/>
    <s v="05.08.2022"/>
    <x v="50"/>
    <s v="771701001"/>
    <x v="50"/>
    <n v="17900"/>
    <n v="2983.34"/>
    <m/>
  </r>
  <r>
    <n v="137"/>
    <x v="5"/>
    <x v="0"/>
    <s v="6987"/>
    <s v="05.08.2022"/>
    <s v="05.08.2022"/>
    <x v="39"/>
    <s v="503801001"/>
    <x v="39"/>
    <n v="30000"/>
    <n v="5000"/>
    <m/>
  </r>
  <r>
    <n v="138"/>
    <x v="5"/>
    <x v="0"/>
    <s v="463"/>
    <s v="08.08.2022"/>
    <s v="08.08.2022"/>
    <x v="41"/>
    <s v="370201001"/>
    <x v="41"/>
    <n v="557816"/>
    <n v="92969.34"/>
    <m/>
  </r>
  <r>
    <n v="139"/>
    <x v="5"/>
    <x v="0"/>
    <s v="3964576-МСК"/>
    <s v="08.08.2022"/>
    <s v="08.08.2022"/>
    <x v="9"/>
    <s v="997750001"/>
    <x v="9"/>
    <n v="1298"/>
    <n v="216.33"/>
    <m/>
  </r>
  <r>
    <n v="140"/>
    <x v="5"/>
    <x v="0"/>
    <s v="1524"/>
    <s v="08.08.2022"/>
    <s v="08.08.2022"/>
    <x v="51"/>
    <s v="673201001"/>
    <x v="51"/>
    <n v="25000"/>
    <n v="4166.67"/>
    <m/>
  </r>
  <r>
    <n v="141"/>
    <x v="5"/>
    <x v="0"/>
    <s v="100"/>
    <s v="12.08.2022"/>
    <s v="12.08.2022"/>
    <x v="52"/>
    <s v="760601001"/>
    <x v="52"/>
    <n v="121622"/>
    <n v="20270.33"/>
    <m/>
  </r>
  <r>
    <n v="142"/>
    <x v="5"/>
    <x v="0"/>
    <s v="28"/>
    <s v="15.08.2022"/>
    <s v="15.08.2022"/>
    <x v="53"/>
    <s v="575401001"/>
    <x v="53"/>
    <n v="458850"/>
    <n v="76475"/>
    <m/>
  </r>
  <r>
    <n v="143"/>
    <x v="5"/>
    <x v="0"/>
    <s v="22703"/>
    <s v="15.08.2022"/>
    <s v="15.08.2022"/>
    <x v="17"/>
    <s v="500101001"/>
    <x v="17"/>
    <n v="244160"/>
    <n v="40693.33"/>
    <m/>
  </r>
  <r>
    <n v="144"/>
    <x v="5"/>
    <x v="0"/>
    <s v="150822-0002"/>
    <s v="15.08.2022"/>
    <s v="15.08.2022"/>
    <x v="36"/>
    <s v="772901001"/>
    <x v="36"/>
    <n v="284871"/>
    <n v="47478.5"/>
    <m/>
  </r>
  <r>
    <n v="145"/>
    <x v="5"/>
    <x v="0"/>
    <s v="1769"/>
    <s v="17.08.2022"/>
    <s v="17.08.2022"/>
    <x v="37"/>
    <s v="771501001"/>
    <x v="37"/>
    <n v="8000"/>
    <n v="1333.33"/>
    <m/>
  </r>
  <r>
    <n v="146"/>
    <x v="5"/>
    <x v="0"/>
    <s v="22905"/>
    <s v="17.08.2022"/>
    <s v="18.08.2022"/>
    <x v="17"/>
    <s v="500101001"/>
    <x v="17"/>
    <n v="70000"/>
    <n v="11666.66"/>
    <m/>
  </r>
  <r>
    <n v="147"/>
    <x v="5"/>
    <x v="0"/>
    <s v="177"/>
    <s v="18.08.2022"/>
    <s v="18.08.2022"/>
    <x v="38"/>
    <s v="564401001"/>
    <x v="38"/>
    <n v="6500"/>
    <n v="1083.33"/>
    <m/>
  </r>
  <r>
    <n v="148"/>
    <x v="5"/>
    <x v="0"/>
    <s v="866"/>
    <s v="19.08.2022"/>
    <s v="19.08.2022"/>
    <x v="54"/>
    <s v="503601001"/>
    <x v="54"/>
    <n v="5292"/>
    <n v="882"/>
    <m/>
  </r>
  <r>
    <n v="149"/>
    <x v="5"/>
    <x v="0"/>
    <s v="236"/>
    <s v="22.08.2022"/>
    <s v="22.08.2022"/>
    <x v="48"/>
    <s v="732501001"/>
    <x v="48"/>
    <n v="669564"/>
    <n v="111594"/>
    <m/>
  </r>
  <r>
    <n v="150"/>
    <x v="5"/>
    <x v="0"/>
    <s v="4299095-МСК"/>
    <s v="23.08.2022"/>
    <s v="23.08.2022"/>
    <x v="9"/>
    <s v="997750001"/>
    <x v="9"/>
    <n v="4680"/>
    <n v="780"/>
    <m/>
  </r>
  <r>
    <n v="151"/>
    <x v="5"/>
    <x v="0"/>
    <s v="102"/>
    <s v="23.08.2022"/>
    <s v="23.08.2022"/>
    <x v="22"/>
    <s v="770301001"/>
    <x v="22"/>
    <n v="60000"/>
    <n v="10000"/>
    <m/>
  </r>
  <r>
    <n v="152"/>
    <x v="5"/>
    <x v="0"/>
    <s v="1178249/0139"/>
    <s v="23.08.2022"/>
    <s v="23.08.2022"/>
    <x v="40"/>
    <s v="997650001"/>
    <x v="40"/>
    <n v="1801"/>
    <n v="262.83"/>
    <m/>
  </r>
  <r>
    <n v="153"/>
    <x v="5"/>
    <x v="0"/>
    <s v="1127360/0351"/>
    <s v="23.08.2022"/>
    <s v="23.08.2022"/>
    <x v="40"/>
    <s v="997650001"/>
    <x v="40"/>
    <n v="1140"/>
    <n v="174"/>
    <m/>
  </r>
  <r>
    <n v="154"/>
    <x v="5"/>
    <x v="0"/>
    <s v="4299100-МСК"/>
    <s v="23.08.2022"/>
    <s v="23.08.2022"/>
    <x v="9"/>
    <s v="997750001"/>
    <x v="9"/>
    <n v="4777"/>
    <n v="796.16"/>
    <m/>
  </r>
  <r>
    <n v="155"/>
    <x v="5"/>
    <x v="1"/>
    <s v="А10"/>
    <s v="17.07.2022"/>
    <s v=""/>
    <x v="3"/>
    <s v="504201001"/>
    <x v="3"/>
    <n v="40950"/>
    <n v="6825"/>
    <m/>
  </r>
  <r>
    <n v="156"/>
    <x v="5"/>
    <x v="1"/>
    <s v="А11"/>
    <s v="17.07.2022"/>
    <s v=""/>
    <x v="3"/>
    <s v="504201001"/>
    <x v="3"/>
    <n v="50050"/>
    <n v="8341.67"/>
    <m/>
  </r>
  <r>
    <n v="157"/>
    <x v="5"/>
    <x v="0"/>
    <s v="499"/>
    <s v="25.08.2022"/>
    <s v="25.08.2022"/>
    <x v="41"/>
    <s v="370201001"/>
    <x v="41"/>
    <n v="479600"/>
    <n v="79933.34"/>
    <m/>
  </r>
  <r>
    <n v="158"/>
    <x v="5"/>
    <x v="0"/>
    <s v="107"/>
    <s v="25.08.2022"/>
    <s v="25.08.2022"/>
    <x v="22"/>
    <s v="770301001"/>
    <x v="22"/>
    <n v="26500"/>
    <n v="4416.67"/>
    <m/>
  </r>
  <r>
    <n v="159"/>
    <x v="5"/>
    <x v="0"/>
    <s v="465852/20220826002"/>
    <s v="26.08.2022"/>
    <s v="26.08.2022"/>
    <x v="55"/>
    <s v="770501001"/>
    <x v="55"/>
    <n v="45579"/>
    <n v="7596.5"/>
    <m/>
  </r>
  <r>
    <n v="160"/>
    <x v="5"/>
    <x v="0"/>
    <s v="507"/>
    <s v="29.08.2022"/>
    <s v="29.08.2022"/>
    <x v="41"/>
    <s v="370201001"/>
    <x v="41"/>
    <n v="574420"/>
    <n v="95736.66"/>
    <m/>
  </r>
  <r>
    <n v="161"/>
    <x v="5"/>
    <x v="1"/>
    <s v="А13"/>
    <s v="23.08.2022"/>
    <s v=""/>
    <x v="3"/>
    <s v="504201001"/>
    <x v="3"/>
    <n v="500000"/>
    <n v="83333.33"/>
    <m/>
  </r>
  <r>
    <n v="162"/>
    <x v="5"/>
    <x v="0"/>
    <s v="1270"/>
    <s v="30.08.2022"/>
    <s v="30.08.2022"/>
    <x v="56"/>
    <s v="370201001"/>
    <x v="56"/>
    <n v="25000"/>
    <n v="4166.67"/>
    <m/>
  </r>
  <r>
    <n v="163"/>
    <x v="5"/>
    <x v="1"/>
    <s v="А15"/>
    <s v="05.09.2022"/>
    <s v=""/>
    <x v="3"/>
    <s v="504201001"/>
    <x v="3"/>
    <n v="664000"/>
    <n v="110666.67"/>
    <m/>
  </r>
  <r>
    <n v="164"/>
    <x v="5"/>
    <x v="0"/>
    <s v="252"/>
    <s v="07.09.2022"/>
    <s v="07.09.2022"/>
    <x v="48"/>
    <s v="732501001"/>
    <x v="48"/>
    <n v="453654"/>
    <n v="75609"/>
    <m/>
  </r>
  <r>
    <n v="165"/>
    <x v="5"/>
    <x v="0"/>
    <s v="4671229-МСК"/>
    <s v="08.09.2022"/>
    <s v="08.09.2022"/>
    <x v="9"/>
    <s v="997750001"/>
    <x v="9"/>
    <n v="20461"/>
    <n v="3410.17"/>
    <m/>
  </r>
  <r>
    <n v="166"/>
    <x v="5"/>
    <x v="0"/>
    <s v="110922-0001"/>
    <s v="11.09.2022"/>
    <s v="11.09.2022"/>
    <x v="36"/>
    <s v="772901001"/>
    <x v="36"/>
    <n v="294120"/>
    <n v="49020"/>
    <m/>
  </r>
  <r>
    <n v="167"/>
    <x v="5"/>
    <x v="0"/>
    <s v="963"/>
    <s v="13.09.2022"/>
    <s v="13.09.2022"/>
    <x v="54"/>
    <s v="503601001"/>
    <x v="54"/>
    <n v="62680"/>
    <n v="10446.67"/>
    <m/>
  </r>
  <r>
    <n v="168"/>
    <x v="5"/>
    <x v="0"/>
    <s v="537"/>
    <s v="15.09.2022"/>
    <s v="15.09.2022"/>
    <x v="41"/>
    <s v="370201001"/>
    <x v="41"/>
    <n v="652935"/>
    <n v="108822.5"/>
    <m/>
  </r>
  <r>
    <n v="169"/>
    <x v="5"/>
    <x v="0"/>
    <s v="1196854/0139"/>
    <s v="15.09.2022"/>
    <s v="15.09.2022"/>
    <x v="40"/>
    <s v="997650001"/>
    <x v="40"/>
    <n v="2364"/>
    <n v="340.67"/>
    <m/>
  </r>
  <r>
    <n v="170"/>
    <x v="5"/>
    <x v="0"/>
    <s v="25807"/>
    <s v="15.09.2022"/>
    <s v="15.09.2022"/>
    <x v="17"/>
    <s v="500101001"/>
    <x v="17"/>
    <n v="35000"/>
    <n v="5833.33"/>
    <m/>
  </r>
  <r>
    <n v="171"/>
    <x v="5"/>
    <x v="0"/>
    <s v="220622-0003"/>
    <s v="22.06.2022"/>
    <s v="21.09.2022"/>
    <x v="36"/>
    <s v="772901001"/>
    <x v="36"/>
    <n v="266560"/>
    <n v="44426.67"/>
    <m/>
  </r>
  <r>
    <n v="172"/>
    <x v="5"/>
    <x v="0"/>
    <s v="А000000557"/>
    <s v="22.09.2022"/>
    <s v="22.09.2022"/>
    <x v="57"/>
    <s v="695001001"/>
    <x v="57"/>
    <n v="19000"/>
    <n v="3166.67"/>
    <m/>
  </r>
  <r>
    <n v="173"/>
    <x v="5"/>
    <x v="0"/>
    <s v="5028684-МСК"/>
    <s v="23.09.2022"/>
    <s v="23.09.2022"/>
    <x v="9"/>
    <s v="997750001"/>
    <x v="9"/>
    <n v="4524"/>
    <n v="754"/>
    <m/>
  </r>
  <r>
    <n v="174"/>
    <x v="5"/>
    <x v="0"/>
    <s v="273"/>
    <s v="23.09.2022"/>
    <s v="23.09.2022"/>
    <x v="48"/>
    <s v="732501001"/>
    <x v="48"/>
    <n v="582726"/>
    <n v="97121"/>
    <m/>
  </r>
  <r>
    <n v="175"/>
    <x v="5"/>
    <x v="0"/>
    <s v="146"/>
    <s v="27.09.2022"/>
    <s v="27.09.2022"/>
    <x v="58"/>
    <s v=""/>
    <x v="58"/>
    <n v="32000"/>
    <n v="5333.33"/>
    <m/>
  </r>
  <r>
    <n v="176"/>
    <x v="5"/>
    <x v="0"/>
    <s v="53"/>
    <s v="01.06.2022"/>
    <s v="27.09.2022"/>
    <x v="59"/>
    <s v="525601001"/>
    <x v="59"/>
    <n v="1700"/>
    <n v="283.33"/>
    <m/>
  </r>
  <r>
    <n v="177"/>
    <x v="5"/>
    <x v="0"/>
    <s v="272-02"/>
    <s v="28.09.2022"/>
    <s v="28.09.2022"/>
    <x v="60"/>
    <s v="470301001"/>
    <x v="60"/>
    <n v="653840"/>
    <n v="108973.33"/>
    <m/>
  </r>
  <r>
    <n v="178"/>
    <x v="5"/>
    <x v="0"/>
    <s v="90"/>
    <s v="28.09.2022"/>
    <s v="28.09.2022"/>
    <x v="61"/>
    <s v="504801001"/>
    <x v="61"/>
    <n v="25000"/>
    <n v="4166.67"/>
    <m/>
  </r>
  <r>
    <n v="179"/>
    <x v="5"/>
    <x v="0"/>
    <s v="18"/>
    <s v="28.09.2022"/>
    <s v="28.09.2022"/>
    <x v="44"/>
    <s v="055401001"/>
    <x v="44"/>
    <n v="540930"/>
    <n v="90155"/>
    <m/>
  </r>
  <r>
    <n v="180"/>
    <x v="5"/>
    <x v="0"/>
    <s v="678"/>
    <s v="29.09.2022"/>
    <s v="29.09.2022"/>
    <x v="62"/>
    <s v="184001001"/>
    <x v="62"/>
    <n v="60000"/>
    <n v="10000"/>
    <m/>
  </r>
  <r>
    <n v="181"/>
    <x v="5"/>
    <x v="0"/>
    <s v="290922-0002"/>
    <s v="29.09.2022"/>
    <s v="29.09.2022"/>
    <x v="36"/>
    <s v="772901001"/>
    <x v="36"/>
    <n v="240893"/>
    <n v="40148.83"/>
    <m/>
  </r>
  <r>
    <n v="182"/>
    <x v="5"/>
    <x v="0"/>
    <s v="298"/>
    <s v="29.09.2022"/>
    <s v="29.09.2022"/>
    <x v="63"/>
    <s v=""/>
    <x v="63"/>
    <n v="715024"/>
    <n v="119170.67"/>
    <m/>
  </r>
  <r>
    <n v="183"/>
    <x v="5"/>
    <x v="0"/>
    <s v="562"/>
    <s v="30.09.2022"/>
    <s v="30.09.2022"/>
    <x v="41"/>
    <s v="370201001"/>
    <x v="41"/>
    <n v="566238"/>
    <n v="94373"/>
    <m/>
  </r>
  <r>
    <n v="184"/>
    <x v="6"/>
    <x v="0"/>
    <s v="27603"/>
    <s v="03.10.2022"/>
    <s v="03.10.2022"/>
    <x v="17"/>
    <s v="500101001"/>
    <x v="17"/>
    <n v="326040"/>
    <n v="54340"/>
    <m/>
  </r>
  <r>
    <n v="185"/>
    <x v="6"/>
    <x v="0"/>
    <s v="1461"/>
    <s v="03.10.2022"/>
    <s v="03.10.2022"/>
    <x v="56"/>
    <s v="370201001"/>
    <x v="56"/>
    <n v="51500"/>
    <n v="8583.34"/>
    <m/>
  </r>
  <r>
    <n v="186"/>
    <x v="6"/>
    <x v="0"/>
    <s v="113"/>
    <s v="04.10.2022"/>
    <s v="04.10.2022"/>
    <x v="64"/>
    <s v="507401001"/>
    <x v="64"/>
    <n v="104652"/>
    <n v="17442"/>
    <m/>
  </r>
  <r>
    <n v="187"/>
    <x v="6"/>
    <x v="0"/>
    <s v="149416"/>
    <s v="05.10.2022"/>
    <s v="05.10.2022"/>
    <x v="65"/>
    <s v="502701001"/>
    <x v="65"/>
    <n v="1948"/>
    <n v="324.67"/>
    <m/>
  </r>
  <r>
    <n v="188"/>
    <x v="6"/>
    <x v="0"/>
    <s v="1727"/>
    <s v="11.10.2022"/>
    <s v="11.10.2022"/>
    <x v="66"/>
    <s v="525901001"/>
    <x v="66"/>
    <n v="415520"/>
    <n v="69253.33"/>
    <m/>
  </r>
  <r>
    <n v="189"/>
    <x v="6"/>
    <x v="0"/>
    <s v="1555405/0066"/>
    <s v="12.10.2022"/>
    <s v="12.10.2022"/>
    <x v="40"/>
    <s v="997650001"/>
    <x v="40"/>
    <n v="629"/>
    <n v="91.67"/>
    <m/>
  </r>
  <r>
    <n v="190"/>
    <x v="6"/>
    <x v="0"/>
    <s v="1253"/>
    <s v="12.10.2022"/>
    <s v="12.10.2022"/>
    <x v="67"/>
    <s v="771801001"/>
    <x v="67"/>
    <n v="60000"/>
    <n v="10000"/>
    <m/>
  </r>
  <r>
    <n v="191"/>
    <x v="6"/>
    <x v="0"/>
    <s v="91534"/>
    <s v="12.10.2022"/>
    <s v="12.10.2022"/>
    <x v="68"/>
    <s v="772501001"/>
    <x v="68"/>
    <n v="2660"/>
    <n v="443.33"/>
    <m/>
  </r>
  <r>
    <n v="192"/>
    <x v="6"/>
    <x v="0"/>
    <s v="329"/>
    <s v="12.10.2022"/>
    <s v="12.10.2022"/>
    <x v="69"/>
    <s v="770201001"/>
    <x v="69"/>
    <n v="33000"/>
    <n v="5500"/>
    <m/>
  </r>
  <r>
    <n v="193"/>
    <x v="6"/>
    <x v="0"/>
    <s v="585"/>
    <s v="13.10.2022"/>
    <s v="13.10.2022"/>
    <x v="41"/>
    <s v="370201001"/>
    <x v="41"/>
    <n v="595376"/>
    <n v="99229.33"/>
    <m/>
  </r>
  <r>
    <n v="194"/>
    <x v="6"/>
    <x v="0"/>
    <s v="1545"/>
    <s v="14.10.2022"/>
    <s v="14.10.2022"/>
    <x v="56"/>
    <s v="370201001"/>
    <x v="56"/>
    <n v="26500"/>
    <n v="4416.67"/>
    <m/>
  </r>
  <r>
    <n v="195"/>
    <x v="6"/>
    <x v="0"/>
    <s v="29401"/>
    <s v="21.10.2022"/>
    <s v="21.10.2022"/>
    <x v="17"/>
    <s v="500101001"/>
    <x v="17"/>
    <n v="183600"/>
    <n v="30600"/>
    <m/>
  </r>
  <r>
    <n v="196"/>
    <x v="6"/>
    <x v="0"/>
    <s v="1599"/>
    <s v="21.10.2022"/>
    <s v="21.10.2022"/>
    <x v="56"/>
    <s v="370201001"/>
    <x v="56"/>
    <n v="26500"/>
    <n v="4416.67"/>
    <m/>
  </r>
  <r>
    <n v="197"/>
    <x v="6"/>
    <x v="0"/>
    <s v="610"/>
    <s v="24.10.2022"/>
    <s v="24.10.2022"/>
    <x v="41"/>
    <s v="370201001"/>
    <x v="41"/>
    <n v="599816"/>
    <n v="99969.33"/>
    <m/>
  </r>
  <r>
    <n v="198"/>
    <x v="6"/>
    <x v="0"/>
    <s v="5797712-МСК"/>
    <s v="26.10.2022"/>
    <s v="26.10.2022"/>
    <x v="9"/>
    <s v="997750001"/>
    <x v="9"/>
    <n v="919"/>
    <n v="153.17"/>
    <m/>
  </r>
  <r>
    <n v="199"/>
    <x v="6"/>
    <x v="0"/>
    <s v="5797716-МСК"/>
    <s v="26.10.2022"/>
    <s v="26.10.2022"/>
    <x v="9"/>
    <s v="997750001"/>
    <x v="9"/>
    <n v="4524"/>
    <n v="754"/>
    <m/>
  </r>
  <r>
    <n v="200"/>
    <x v="6"/>
    <x v="0"/>
    <s v="2284"/>
    <s v="26.10.2022"/>
    <s v="26.10.2022"/>
    <x v="37"/>
    <s v="771501001"/>
    <x v="37"/>
    <n v="4900"/>
    <n v="816.66"/>
    <m/>
  </r>
  <r>
    <n v="201"/>
    <x v="6"/>
    <x v="0"/>
    <s v="30003"/>
    <s v="27.10.2022"/>
    <s v="27.10.2022"/>
    <x v="17"/>
    <s v="500101001"/>
    <x v="17"/>
    <n v="35000"/>
    <n v="5833.33"/>
    <m/>
  </r>
  <r>
    <n v="202"/>
    <x v="6"/>
    <x v="0"/>
    <s v="673"/>
    <s v="27.10.2022"/>
    <s v="27.10.2022"/>
    <x v="0"/>
    <s v="503601001"/>
    <x v="0"/>
    <n v="150000"/>
    <n v="25000"/>
    <m/>
  </r>
  <r>
    <n v="203"/>
    <x v="6"/>
    <x v="0"/>
    <s v="27801"/>
    <s v="05.10.2022"/>
    <s v="27.10.2022"/>
    <x v="17"/>
    <s v="500101001"/>
    <x v="17"/>
    <n v="70000"/>
    <n v="11666.66"/>
    <m/>
  </r>
  <r>
    <n v="204"/>
    <x v="6"/>
    <x v="0"/>
    <s v="400"/>
    <s v="28.10.2022"/>
    <s v="28.10.2022"/>
    <x v="18"/>
    <s v="761001001"/>
    <x v="18"/>
    <n v="15750"/>
    <n v="2625"/>
    <m/>
  </r>
  <r>
    <n v="205"/>
    <x v="6"/>
    <x v="0"/>
    <s v="1027506/0163"/>
    <s v="01.11.2022"/>
    <s v="01.11.2022"/>
    <x v="40"/>
    <s v="997650001"/>
    <x v="40"/>
    <n v="810"/>
    <n v="118.5"/>
    <m/>
  </r>
  <r>
    <n v="206"/>
    <x v="6"/>
    <x v="0"/>
    <s v="1165611/0351"/>
    <s v="01.11.2022"/>
    <s v="01.11.2022"/>
    <x v="40"/>
    <s v="997650001"/>
    <x v="40"/>
    <n v="567"/>
    <n v="85.5"/>
    <m/>
  </r>
  <r>
    <n v="207"/>
    <x v="6"/>
    <x v="0"/>
    <s v="86"/>
    <s v="01.11.2022"/>
    <s v="01.11.2022"/>
    <x v="59"/>
    <s v="525601001"/>
    <x v="59"/>
    <n v="3400"/>
    <n v="566.67"/>
    <m/>
  </r>
  <r>
    <n v="208"/>
    <x v="6"/>
    <x v="0"/>
    <s v="УТ-772"/>
    <s v="02.11.2022"/>
    <s v="02.11.2022"/>
    <x v="70"/>
    <s v="772701001"/>
    <x v="70"/>
    <n v="2070"/>
    <n v="345"/>
    <m/>
  </r>
  <r>
    <n v="209"/>
    <x v="6"/>
    <x v="0"/>
    <s v="УТ-771"/>
    <s v="02.11.2022"/>
    <s v="02.11.2022"/>
    <x v="70"/>
    <s v="772701001"/>
    <x v="70"/>
    <n v="12708"/>
    <n v="2118"/>
    <m/>
  </r>
  <r>
    <n v="210"/>
    <x v="6"/>
    <x v="0"/>
    <s v="1039131/0103"/>
    <s v="08.11.2022"/>
    <s v="08.11.2022"/>
    <x v="40"/>
    <s v="997650001"/>
    <x v="40"/>
    <n v="1264"/>
    <n v="194.17"/>
    <m/>
  </r>
  <r>
    <n v="211"/>
    <x v="6"/>
    <x v="0"/>
    <s v="1445816/0116"/>
    <s v="08.11.2022"/>
    <s v="08.11.2022"/>
    <x v="40"/>
    <s v="997650001"/>
    <x v="40"/>
    <n v="719"/>
    <n v="106.17"/>
    <m/>
  </r>
  <r>
    <n v="212"/>
    <x v="6"/>
    <x v="0"/>
    <s v="2381"/>
    <s v="08.11.2022"/>
    <s v="08.11.2022"/>
    <x v="37"/>
    <s v="771501001"/>
    <x v="37"/>
    <n v="9600"/>
    <n v="1600"/>
    <m/>
  </r>
  <r>
    <n v="213"/>
    <x v="6"/>
    <x v="0"/>
    <s v="97854"/>
    <s v="08.11.2022"/>
    <s v="08.11.2022"/>
    <x v="68"/>
    <s v="772501001"/>
    <x v="68"/>
    <n v="2660"/>
    <n v="443.33"/>
    <m/>
  </r>
  <r>
    <n v="214"/>
    <x v="6"/>
    <x v="0"/>
    <s v="91122-0003"/>
    <s v="09.11.2022"/>
    <s v="09.11.2022"/>
    <x v="36"/>
    <s v="772901001"/>
    <x v="36"/>
    <n v="416220"/>
    <n v="69370"/>
    <m/>
  </r>
  <r>
    <n v="215"/>
    <x v="6"/>
    <x v="0"/>
    <s v="29623"/>
    <s v="09.11.2022"/>
    <s v="09.11.2022"/>
    <x v="71"/>
    <s v="772401001"/>
    <x v="71"/>
    <n v="16400"/>
    <n v="2733.33"/>
    <m/>
  </r>
  <r>
    <n v="216"/>
    <x v="6"/>
    <x v="0"/>
    <s v="202"/>
    <s v="11.11.2022"/>
    <s v="11.11.2022"/>
    <x v="22"/>
    <s v="770301001"/>
    <x v="22"/>
    <n v="29000"/>
    <n v="4833.33"/>
    <m/>
  </r>
  <r>
    <n v="217"/>
    <x v="6"/>
    <x v="0"/>
    <s v="1170368/0351"/>
    <s v="14.11.2022"/>
    <s v="14.11.2022"/>
    <x v="40"/>
    <s v="997650001"/>
    <x v="40"/>
    <n v="630"/>
    <n v="91.33"/>
    <m/>
  </r>
  <r>
    <n v="218"/>
    <x v="6"/>
    <x v="0"/>
    <s v="6275006-МСК"/>
    <s v="14.11.2022"/>
    <s v="14.11.2022"/>
    <x v="9"/>
    <s v="997750001"/>
    <x v="9"/>
    <n v="4141"/>
    <n v="690.17"/>
    <m/>
  </r>
  <r>
    <n v="219"/>
    <x v="6"/>
    <x v="0"/>
    <s v="2166"/>
    <s v="14.11.2022"/>
    <s v="14.11.2022"/>
    <x v="72"/>
    <s v="780601001"/>
    <x v="72"/>
    <n v="490540"/>
    <n v="81756.67"/>
    <m/>
  </r>
  <r>
    <n v="220"/>
    <x v="6"/>
    <x v="0"/>
    <s v="1687"/>
    <s v="15.11.2022"/>
    <s v="15.11.2022"/>
    <x v="56"/>
    <s v="370201001"/>
    <x v="56"/>
    <n v="26500"/>
    <n v="4416.67"/>
    <m/>
  </r>
  <r>
    <n v="221"/>
    <x v="6"/>
    <x v="0"/>
    <s v="32001"/>
    <s v="16.11.2022"/>
    <s v="16.11.2022"/>
    <x v="17"/>
    <s v="500101001"/>
    <x v="17"/>
    <n v="35000"/>
    <n v="5833.33"/>
    <m/>
  </r>
  <r>
    <n v="222"/>
    <x v="6"/>
    <x v="0"/>
    <s v="2642988/0244"/>
    <s v="16.11.2022"/>
    <s v="16.11.2022"/>
    <x v="40"/>
    <s v="997650001"/>
    <x v="40"/>
    <n v="713"/>
    <n v="101.33"/>
    <m/>
  </r>
  <r>
    <n v="223"/>
    <x v="6"/>
    <x v="0"/>
    <s v="2177"/>
    <s v="16.11.2022"/>
    <s v="16.11.2022"/>
    <x v="72"/>
    <s v="780601001"/>
    <x v="72"/>
    <n v="597840"/>
    <n v="99640"/>
    <m/>
  </r>
  <r>
    <n v="224"/>
    <x v="6"/>
    <x v="0"/>
    <s v="769"/>
    <s v="18.11.2022"/>
    <s v="18.11.2022"/>
    <x v="50"/>
    <s v="771701001"/>
    <x v="50"/>
    <n v="13100"/>
    <n v="2183.33"/>
    <m/>
  </r>
  <r>
    <n v="225"/>
    <x v="6"/>
    <x v="0"/>
    <s v="11496"/>
    <s v="21.11.2022"/>
    <s v="21.11.2022"/>
    <x v="39"/>
    <s v="503801001"/>
    <x v="39"/>
    <n v="30000"/>
    <n v="5000"/>
    <m/>
  </r>
  <r>
    <n v="226"/>
    <x v="6"/>
    <x v="0"/>
    <s v="6499765-МСК"/>
    <s v="22.11.2022"/>
    <s v="22.11.2022"/>
    <x v="9"/>
    <s v="997750001"/>
    <x v="9"/>
    <n v="1190"/>
    <n v="198.33"/>
    <m/>
  </r>
  <r>
    <n v="227"/>
    <x v="6"/>
    <x v="0"/>
    <s v="1473796/0116"/>
    <s v="22.11.2022"/>
    <s v="22.11.2022"/>
    <x v="40"/>
    <s v="997650001"/>
    <x v="40"/>
    <n v="1017"/>
    <n v="150.83"/>
    <m/>
  </r>
  <r>
    <n v="228"/>
    <x v="6"/>
    <x v="0"/>
    <s v="2217378/0008"/>
    <s v="23.11.2022"/>
    <s v="23.11.2022"/>
    <x v="40"/>
    <s v="997650001"/>
    <x v="40"/>
    <n v="3731"/>
    <n v="568.5"/>
    <m/>
  </r>
  <r>
    <n v="229"/>
    <x v="6"/>
    <x v="0"/>
    <s v="5308377/0008"/>
    <s v="23.11.2022"/>
    <s v="23.11.2022"/>
    <x v="40"/>
    <s v="997650001"/>
    <x v="40"/>
    <n v="260"/>
    <n v="41.5"/>
    <m/>
  </r>
  <r>
    <n v="230"/>
    <x v="6"/>
    <x v="0"/>
    <s v="2266"/>
    <s v="28.11.2022"/>
    <s v="28.11.2022"/>
    <x v="72"/>
    <s v="780601001"/>
    <x v="72"/>
    <n v="563160"/>
    <n v="93860"/>
    <m/>
  </r>
  <r>
    <n v="231"/>
    <x v="6"/>
    <x v="0"/>
    <s v="666"/>
    <s v="28.11.2022"/>
    <s v="28.11.2022"/>
    <x v="21"/>
    <s v="575201001"/>
    <x v="21"/>
    <n v="25000"/>
    <n v="4166.67"/>
    <m/>
  </r>
  <r>
    <n v="232"/>
    <x v="6"/>
    <x v="0"/>
    <s v="34202"/>
    <s v="08.12.2022"/>
    <s v="08.12.2022"/>
    <x v="17"/>
    <s v="500101001"/>
    <x v="17"/>
    <n v="236832"/>
    <n v="39472"/>
    <m/>
  </r>
  <r>
    <n v="233"/>
    <x v="6"/>
    <x v="0"/>
    <s v="34605"/>
    <s v="12.12.2022"/>
    <s v="12.12.2022"/>
    <x v="17"/>
    <s v="500101001"/>
    <x v="17"/>
    <n v="35000"/>
    <n v="5833.33"/>
    <m/>
  </r>
  <r>
    <n v="234"/>
    <x v="6"/>
    <x v="0"/>
    <s v="24803"/>
    <s v="05.09.2022"/>
    <s v="14.12.2022"/>
    <x v="17"/>
    <s v="500101001"/>
    <x v="17"/>
    <n v="198240"/>
    <n v="33040"/>
    <m/>
  </r>
  <r>
    <n v="235"/>
    <x v="6"/>
    <x v="0"/>
    <s v="876"/>
    <s v="14.12.2022"/>
    <s v="14.12.2022"/>
    <x v="73"/>
    <s v="183201001"/>
    <x v="73"/>
    <n v="7500"/>
    <n v="1250"/>
    <m/>
  </r>
  <r>
    <n v="236"/>
    <x v="7"/>
    <x v="0"/>
    <s v="31201"/>
    <s v="08.11.2022"/>
    <s v="08.11.2022"/>
    <x v="17"/>
    <s v="500101001"/>
    <x v="17"/>
    <n v="187620"/>
    <n v="31270"/>
    <m/>
  </r>
  <r>
    <n v="237"/>
    <x v="7"/>
    <x v="0"/>
    <s v="4"/>
    <s v="14.01.2023"/>
    <s v="14.01.2023"/>
    <x v="74"/>
    <s v="673201001"/>
    <x v="74"/>
    <n v="22000"/>
    <n v="3666.67"/>
    <m/>
  </r>
  <r>
    <n v="238"/>
    <x v="7"/>
    <x v="0"/>
    <s v="5"/>
    <s v="17.01.2023"/>
    <s v="17.01.2023"/>
    <x v="73"/>
    <s v="183201001"/>
    <x v="73"/>
    <n v="26000"/>
    <n v="4333.33"/>
    <m/>
  </r>
  <r>
    <n v="239"/>
    <x v="7"/>
    <x v="0"/>
    <s v="В1181"/>
    <s v="18.01.2023"/>
    <s v="18.01.2023"/>
    <x v="75"/>
    <s v="770101001"/>
    <x v="75"/>
    <n v="17600"/>
    <n v="2933.33"/>
    <m/>
  </r>
  <r>
    <n v="240"/>
    <x v="7"/>
    <x v="0"/>
    <s v="39"/>
    <s v="20.01.2023"/>
    <s v="20.01.2023"/>
    <x v="76"/>
    <s v="614101001"/>
    <x v="76"/>
    <n v="20000"/>
    <n v="3333.33"/>
    <m/>
  </r>
  <r>
    <n v="241"/>
    <x v="7"/>
    <x v="0"/>
    <s v="288"/>
    <s v="11.10.2022"/>
    <s v="23.01.2023"/>
    <x v="48"/>
    <s v="732501001"/>
    <x v="48"/>
    <n v="618983"/>
    <n v="103163.83"/>
    <m/>
  </r>
  <r>
    <n v="242"/>
    <x v="7"/>
    <x v="0"/>
    <s v="107"/>
    <s v="24.01.2023"/>
    <s v="24.01.2023"/>
    <x v="56"/>
    <s v="370201001"/>
    <x v="56"/>
    <n v="26500"/>
    <n v="4416.67"/>
    <m/>
  </r>
  <r>
    <n v="243"/>
    <x v="7"/>
    <x v="0"/>
    <s v="24"/>
    <s v="25.01.2023"/>
    <s v="25.01.2023"/>
    <x v="41"/>
    <s v="370201001"/>
    <x v="41"/>
    <n v="435666"/>
    <n v="72611"/>
    <m/>
  </r>
  <r>
    <n v="244"/>
    <x v="7"/>
    <x v="0"/>
    <s v="2356"/>
    <s v="18.11.2022"/>
    <s v="25.01.2023"/>
    <x v="77"/>
    <s v="773101001"/>
    <x v="77"/>
    <n v="10893"/>
    <n v="1815.5"/>
    <m/>
  </r>
  <r>
    <n v="245"/>
    <x v="7"/>
    <x v="0"/>
    <s v="81261"/>
    <s v="26.01.2023"/>
    <s v="26.01.2023"/>
    <x v="75"/>
    <s v="770101001"/>
    <x v="75"/>
    <n v="453904"/>
    <n v="75650.67"/>
    <m/>
  </r>
  <r>
    <n v="246"/>
    <x v="7"/>
    <x v="0"/>
    <s v="26/01"/>
    <s v="26.01.2023"/>
    <s v="26.01.2023"/>
    <x v="78"/>
    <s v="502901001"/>
    <x v="78"/>
    <n v="8850"/>
    <n v="1475"/>
    <m/>
  </r>
  <r>
    <n v="247"/>
    <x v="7"/>
    <x v="0"/>
    <s v="11308"/>
    <s v="26.01.2023"/>
    <s v="26.01.2023"/>
    <x v="65"/>
    <s v="502701001"/>
    <x v="65"/>
    <n v="1636"/>
    <n v="272.67"/>
    <m/>
  </r>
  <r>
    <n v="248"/>
    <x v="7"/>
    <x v="0"/>
    <s v="181022-0004"/>
    <s v="18.10.2022"/>
    <s v="31.01.2023"/>
    <x v="36"/>
    <s v="772901001"/>
    <x v="36"/>
    <n v="294975"/>
    <n v="49162.5"/>
    <m/>
  </r>
  <r>
    <n v="249"/>
    <x v="7"/>
    <x v="0"/>
    <s v="81311"/>
    <s v="31.01.2023"/>
    <s v="31.01.2023"/>
    <x v="75"/>
    <s v="770101001"/>
    <x v="75"/>
    <n v="880000"/>
    <n v="146666.67"/>
    <m/>
  </r>
  <r>
    <n v="250"/>
    <x v="7"/>
    <x v="0"/>
    <s v="169"/>
    <s v="30.12.2022"/>
    <s v="31.01.2023"/>
    <x v="58"/>
    <s v=""/>
    <x v="58"/>
    <n v="15200"/>
    <n v="2533.33"/>
    <m/>
  </r>
  <r>
    <n v="251"/>
    <x v="7"/>
    <x v="0"/>
    <s v="42"/>
    <s v="01.02.2023"/>
    <s v="01.02.2023"/>
    <x v="0"/>
    <s v="503601001"/>
    <x v="0"/>
    <n v="503456"/>
    <n v="83909.33"/>
    <m/>
  </r>
  <r>
    <n v="252"/>
    <x v="7"/>
    <x v="0"/>
    <s v="41"/>
    <s v="01.02.2023"/>
    <s v="01.02.2023"/>
    <x v="0"/>
    <s v="503601001"/>
    <x v="0"/>
    <n v="50400"/>
    <n v="8400"/>
    <m/>
  </r>
  <r>
    <n v="253"/>
    <x v="7"/>
    <x v="0"/>
    <s v="181"/>
    <s v="01.02.2023"/>
    <s v="01.02.2023"/>
    <x v="37"/>
    <s v="771501001"/>
    <x v="37"/>
    <n v="2840"/>
    <n v="473.34"/>
    <m/>
  </r>
  <r>
    <n v="254"/>
    <x v="7"/>
    <x v="0"/>
    <s v="6"/>
    <s v="01.02.2023"/>
    <s v="01.02.2023"/>
    <x v="79"/>
    <s v="771501001"/>
    <x v="79"/>
    <n v="687412"/>
    <n v="114568.67"/>
    <m/>
  </r>
  <r>
    <n v="255"/>
    <x v="7"/>
    <x v="0"/>
    <s v="1047497/0066"/>
    <s v="02.02.2023"/>
    <s v="02.02.2023"/>
    <x v="40"/>
    <s v="997650001"/>
    <x v="40"/>
    <n v="672"/>
    <n v="95.67"/>
    <m/>
  </r>
  <r>
    <n v="256"/>
    <x v="7"/>
    <x v="0"/>
    <s v="642"/>
    <s v="14.11.2022"/>
    <s v="06.02.2023"/>
    <x v="41"/>
    <s v="370201001"/>
    <x v="41"/>
    <n v="581251"/>
    <n v="96875.17"/>
    <m/>
  </r>
  <r>
    <n v="257"/>
    <x v="7"/>
    <x v="0"/>
    <s v="ПВ2061"/>
    <s v="06.02.2023"/>
    <s v="06.02.2023"/>
    <x v="75"/>
    <s v="770101001"/>
    <x v="75"/>
    <n v="362895"/>
    <n v="60482.5"/>
    <m/>
  </r>
  <r>
    <n v="258"/>
    <x v="7"/>
    <x v="0"/>
    <s v="33826521202302080017"/>
    <s v="08.02.2023"/>
    <s v="08.02.2023"/>
    <x v="80"/>
    <s v="771801001"/>
    <x v="80"/>
    <n v="4272"/>
    <n v="712"/>
    <m/>
  </r>
  <r>
    <n v="259"/>
    <x v="7"/>
    <x v="0"/>
    <s v="1014795/0351"/>
    <s v="08.02.2023"/>
    <s v="08.02.2023"/>
    <x v="40"/>
    <s v="997650001"/>
    <x v="40"/>
    <n v="642"/>
    <n v="93.5"/>
    <m/>
  </r>
  <r>
    <n v="260"/>
    <x v="7"/>
    <x v="0"/>
    <s v="6"/>
    <s v="09.02.2023"/>
    <s v="09.02.2023"/>
    <x v="44"/>
    <s v="055401001"/>
    <x v="44"/>
    <n v="608260"/>
    <n v="101376.67"/>
    <m/>
  </r>
  <r>
    <n v="261"/>
    <x v="7"/>
    <x v="0"/>
    <s v="ПВ2101"/>
    <s v="10.02.2023"/>
    <s v="10.02.2023"/>
    <x v="75"/>
    <s v="770101001"/>
    <x v="75"/>
    <n v="150000"/>
    <n v="25000"/>
    <m/>
  </r>
  <r>
    <n v="262"/>
    <x v="7"/>
    <x v="0"/>
    <s v="В2101"/>
    <s v="10.02.2023"/>
    <s v="10.02.2023"/>
    <x v="75"/>
    <s v="770101001"/>
    <x v="75"/>
    <n v="868500"/>
    <n v="144750"/>
    <m/>
  </r>
  <r>
    <n v="263"/>
    <x v="7"/>
    <x v="0"/>
    <s v="000204"/>
    <s v="10.02.2023"/>
    <s v="10.02.2023"/>
    <x v="67"/>
    <s v="771801001"/>
    <x v="67"/>
    <n v="23000"/>
    <n v="3833.33"/>
    <m/>
  </r>
  <r>
    <n v="264"/>
    <x v="7"/>
    <x v="0"/>
    <s v="28"/>
    <s v="14.02.2023"/>
    <s v="14.02.2023"/>
    <x v="81"/>
    <s v="772901001"/>
    <x v="81"/>
    <n v="35000"/>
    <n v="5833.34"/>
    <m/>
  </r>
  <r>
    <n v="265"/>
    <x v="7"/>
    <x v="0"/>
    <s v="4"/>
    <s v="15.02.2023"/>
    <s v="15.02.2023"/>
    <x v="82"/>
    <s v="505001001"/>
    <x v="82"/>
    <n v="208180"/>
    <n v="34696.67"/>
    <m/>
  </r>
  <r>
    <n v="266"/>
    <x v="7"/>
    <x v="0"/>
    <s v="11"/>
    <s v="15.02.2023"/>
    <s v="15.02.2023"/>
    <x v="79"/>
    <s v="771501001"/>
    <x v="79"/>
    <n v="682516"/>
    <n v="113752.67"/>
    <m/>
  </r>
  <r>
    <n v="267"/>
    <x v="7"/>
    <x v="0"/>
    <s v="В2161"/>
    <s v="16.02.2023"/>
    <s v="16.02.2023"/>
    <x v="75"/>
    <s v="770101001"/>
    <x v="75"/>
    <n v="24500"/>
    <n v="4083.33"/>
    <m/>
  </r>
  <r>
    <n v="268"/>
    <x v="7"/>
    <x v="0"/>
    <s v="109/Сф"/>
    <s v="20.02.2023"/>
    <s v="20.02.2023"/>
    <x v="83"/>
    <s v="502701001"/>
    <x v="83"/>
    <n v="22000"/>
    <n v="3666.66"/>
    <m/>
  </r>
  <r>
    <n v="269"/>
    <x v="7"/>
    <x v="0"/>
    <s v="65"/>
    <s v="20.02.2023"/>
    <s v="20.02.2023"/>
    <x v="41"/>
    <s v="370201001"/>
    <x v="41"/>
    <n v="441554"/>
    <n v="73592.33"/>
    <m/>
  </r>
  <r>
    <n v="270"/>
    <x v="7"/>
    <x v="0"/>
    <s v="ПВ2211"/>
    <s v="21.02.2023"/>
    <s v="21.02.2023"/>
    <x v="75"/>
    <s v="770101001"/>
    <x v="75"/>
    <n v="146730"/>
    <n v="24455"/>
    <m/>
  </r>
  <r>
    <n v="271"/>
    <x v="7"/>
    <x v="0"/>
    <s v="243"/>
    <s v="21.02.2023"/>
    <s v="21.02.2023"/>
    <x v="56"/>
    <s v="370201001"/>
    <x v="56"/>
    <n v="26500"/>
    <n v="4416.67"/>
    <m/>
  </r>
  <r>
    <n v="272"/>
    <x v="7"/>
    <x v="0"/>
    <s v="В2211"/>
    <s v="21.02.2023"/>
    <s v="21.02.2023"/>
    <x v="75"/>
    <s v="770101001"/>
    <x v="75"/>
    <n v="899184"/>
    <n v="149864"/>
    <m/>
  </r>
  <r>
    <n v="273"/>
    <x v="7"/>
    <x v="0"/>
    <s v="141"/>
    <s v="21.02.2023"/>
    <s v="21.02.2023"/>
    <x v="84"/>
    <s v="631801001"/>
    <x v="84"/>
    <n v="25000"/>
    <n v="4166.67"/>
    <m/>
  </r>
  <r>
    <n v="274"/>
    <x v="7"/>
    <x v="0"/>
    <s v="14022023-01"/>
    <s v="23.02.2023"/>
    <s v="23.02.2023"/>
    <x v="85"/>
    <s v="366301001"/>
    <x v="85"/>
    <n v="10000"/>
    <n v="1666.67"/>
    <m/>
  </r>
  <r>
    <n v="275"/>
    <x v="7"/>
    <x v="0"/>
    <s v="5802"/>
    <s v="27.02.2023"/>
    <s v="27.02.2023"/>
    <x v="17"/>
    <s v="500101001"/>
    <x v="17"/>
    <n v="12000"/>
    <n v="2000"/>
    <m/>
  </r>
  <r>
    <n v="276"/>
    <x v="7"/>
    <x v="0"/>
    <s v="1422867-МСК"/>
    <s v="27.02.2023"/>
    <s v="27.02.2023"/>
    <x v="9"/>
    <s v="997750001"/>
    <x v="9"/>
    <n v="3620"/>
    <n v="603.33"/>
    <m/>
  </r>
  <r>
    <n v="277"/>
    <x v="7"/>
    <x v="1"/>
    <s v="А2"/>
    <s v="31.01.2023"/>
    <s v=""/>
    <x v="3"/>
    <s v="504201001"/>
    <x v="3"/>
    <n v="248000"/>
    <n v="41333.33"/>
    <m/>
  </r>
  <r>
    <n v="278"/>
    <x v="7"/>
    <x v="0"/>
    <s v="2"/>
    <s v="07.03.2023"/>
    <s v="07.03.2023"/>
    <x v="86"/>
    <s v=""/>
    <x v="86"/>
    <n v="415886"/>
    <n v="69314.33"/>
    <m/>
  </r>
  <r>
    <n v="279"/>
    <x v="7"/>
    <x v="0"/>
    <s v="3"/>
    <s v="07.03.2023"/>
    <s v="07.03.2023"/>
    <x v="86"/>
    <s v=""/>
    <x v="86"/>
    <n v="497922"/>
    <n v="82987"/>
    <m/>
  </r>
  <r>
    <n v="280"/>
    <x v="7"/>
    <x v="0"/>
    <s v="2252"/>
    <s v="07.03.2023"/>
    <s v="07.03.2023"/>
    <x v="39"/>
    <s v="503801001"/>
    <x v="39"/>
    <n v="30000"/>
    <n v="5000"/>
    <m/>
  </r>
  <r>
    <n v="281"/>
    <x v="7"/>
    <x v="0"/>
    <s v="В3091"/>
    <s v="09.03.2023"/>
    <s v="09.03.2023"/>
    <x v="75"/>
    <s v="770101001"/>
    <x v="75"/>
    <n v="870000"/>
    <n v="145000"/>
    <m/>
  </r>
  <r>
    <n v="282"/>
    <x v="7"/>
    <x v="0"/>
    <s v="11"/>
    <s v="10.03.2023"/>
    <s v="10.03.2023"/>
    <x v="87"/>
    <s v=""/>
    <x v="87"/>
    <n v="841500"/>
    <n v="140250"/>
    <m/>
  </r>
  <r>
    <n v="283"/>
    <x v="7"/>
    <x v="0"/>
    <s v="81"/>
    <s v="10.03.2023"/>
    <s v="10.03.2023"/>
    <x v="74"/>
    <s v="673201001"/>
    <x v="74"/>
    <n v="35000"/>
    <n v="5833.33"/>
    <m/>
  </r>
  <r>
    <n v="284"/>
    <x v="7"/>
    <x v="0"/>
    <s v="325"/>
    <s v="16.03.2023"/>
    <s v="16.03.2023"/>
    <x v="88"/>
    <s v="333401001"/>
    <x v="88"/>
    <n v="6000"/>
    <n v="1000"/>
    <m/>
  </r>
  <r>
    <n v="285"/>
    <x v="7"/>
    <x v="1"/>
    <s v="А1"/>
    <s v="09.01.2023"/>
    <s v=""/>
    <x v="3"/>
    <s v="504201001"/>
    <x v="3"/>
    <n v="500"/>
    <n v="83.33"/>
    <m/>
  </r>
  <r>
    <n v="286"/>
    <x v="7"/>
    <x v="0"/>
    <s v="1998138-МСК"/>
    <s v="20.03.2023"/>
    <s v="20.03.2023"/>
    <x v="9"/>
    <s v="997750001"/>
    <x v="9"/>
    <n v="6632"/>
    <n v="1105.33"/>
    <m/>
  </r>
  <r>
    <n v="287"/>
    <x v="7"/>
    <x v="0"/>
    <s v="5"/>
    <s v="20.03.2023"/>
    <s v="20.03.2023"/>
    <x v="86"/>
    <s v=""/>
    <x v="86"/>
    <n v="705259"/>
    <n v="117543.17"/>
    <m/>
  </r>
  <r>
    <n v="288"/>
    <x v="7"/>
    <x v="0"/>
    <s v="4"/>
    <s v="24.03.2023"/>
    <s v="24.03.2023"/>
    <x v="87"/>
    <s v=""/>
    <x v="87"/>
    <n v="360000"/>
    <n v="60000"/>
    <m/>
  </r>
  <r>
    <n v="289"/>
    <x v="7"/>
    <x v="0"/>
    <s v="3099"/>
    <s v="27.03.2023"/>
    <s v="27.03.2023"/>
    <x v="39"/>
    <s v="503801001"/>
    <x v="39"/>
    <n v="30000"/>
    <n v="5000"/>
    <m/>
  </r>
  <r>
    <n v="290"/>
    <x v="7"/>
    <x v="0"/>
    <s v="383"/>
    <s v="27.03.2023"/>
    <s v="27.03.2023"/>
    <x v="56"/>
    <s v="370201001"/>
    <x v="56"/>
    <n v="28000"/>
    <n v="4666.67"/>
    <m/>
  </r>
  <r>
    <n v="291"/>
    <x v="7"/>
    <x v="0"/>
    <s v="108"/>
    <s v="28.03.2023"/>
    <s v="28.03.2023"/>
    <x v="89"/>
    <s v="332701001"/>
    <x v="89"/>
    <n v="539280"/>
    <n v="89880"/>
    <m/>
  </r>
  <r>
    <n v="292"/>
    <x v="7"/>
    <x v="0"/>
    <s v="53"/>
    <s v="28.03.2023"/>
    <s v="28.03.2023"/>
    <x v="90"/>
    <s v="184001001"/>
    <x v="90"/>
    <n v="25000"/>
    <n v="4166.67"/>
    <m/>
  </r>
  <r>
    <n v="293"/>
    <x v="7"/>
    <x v="0"/>
    <s v="69"/>
    <s v="29.03.2023"/>
    <s v="29.03.2023"/>
    <x v="63"/>
    <s v=""/>
    <x v="63"/>
    <n v="432352"/>
    <n v="72058.67"/>
    <m/>
  </r>
  <r>
    <n v="294"/>
    <x v="7"/>
    <x v="0"/>
    <s v="В3301"/>
    <s v="30.03.2023"/>
    <s v="30.03.2023"/>
    <x v="75"/>
    <s v="770101001"/>
    <x v="75"/>
    <n v="1686750"/>
    <n v="281125"/>
    <m/>
  </r>
  <r>
    <n v="295"/>
    <x v="7"/>
    <x v="0"/>
    <s v="9001"/>
    <s v="31.03.2023"/>
    <s v="31.03.2023"/>
    <x v="17"/>
    <s v="500101001"/>
    <x v="17"/>
    <n v="40000"/>
    <n v="6666.67"/>
    <m/>
  </r>
  <r>
    <n v="296"/>
    <x v="7"/>
    <x v="1"/>
    <s v="А14"/>
    <s v="26.08.2022"/>
    <s v=""/>
    <x v="3"/>
    <s v="504201001"/>
    <x v="3"/>
    <n v="37655"/>
    <n v="6275.83"/>
    <m/>
  </r>
  <r>
    <n v="297"/>
    <x v="7"/>
    <x v="0"/>
    <s v="7"/>
    <s v="31.03.2023"/>
    <s v="31.03.2023"/>
    <x v="86"/>
    <s v=""/>
    <x v="86"/>
    <n v="227800"/>
    <n v="37966.67"/>
    <m/>
  </r>
  <r>
    <n v="298"/>
    <x v="8"/>
    <x v="1"/>
    <s v="А5"/>
    <s v="11.03.2023"/>
    <s v=""/>
    <x v="3"/>
    <s v="504201001"/>
    <x v="3"/>
    <n v="248000"/>
    <n v="41333.33"/>
    <m/>
  </r>
  <r>
    <n v="299"/>
    <x v="8"/>
    <x v="0"/>
    <s v="2816332-МСК"/>
    <s v="13.04.2023"/>
    <s v="13.04.2023"/>
    <x v="9"/>
    <s v="997750001"/>
    <x v="9"/>
    <n v="1687"/>
    <n v="281.17"/>
    <m/>
  </r>
  <r>
    <n v="300"/>
    <x v="8"/>
    <x v="0"/>
    <s v="23"/>
    <s v="19.04.2023"/>
    <s v="19.04.2023"/>
    <x v="52"/>
    <s v="760601001"/>
    <x v="52"/>
    <n v="51400"/>
    <n v="8566.67"/>
    <m/>
  </r>
  <r>
    <n v="301"/>
    <x v="8"/>
    <x v="0"/>
    <s v="762"/>
    <s v="20.04.2023"/>
    <s v="20.04.2023"/>
    <x v="91"/>
    <s v="504701001"/>
    <x v="91"/>
    <n v="392920"/>
    <n v="65486.67"/>
    <m/>
  </r>
  <r>
    <n v="302"/>
    <x v="8"/>
    <x v="0"/>
    <s v="512"/>
    <s v="21.04.2023"/>
    <s v="21.04.2023"/>
    <x v="56"/>
    <s v="370201001"/>
    <x v="56"/>
    <n v="28000"/>
    <n v="4666.67"/>
    <m/>
  </r>
  <r>
    <n v="303"/>
    <x v="8"/>
    <x v="0"/>
    <s v="178"/>
    <s v="21.04.2023"/>
    <s v="21.04.2023"/>
    <x v="41"/>
    <s v="370201001"/>
    <x v="41"/>
    <n v="445983"/>
    <n v="74330.5"/>
    <m/>
  </r>
  <r>
    <n v="304"/>
    <x v="8"/>
    <x v="0"/>
    <s v="1261264/0066"/>
    <s v="25.04.2023"/>
    <s v="25.04.2023"/>
    <x v="40"/>
    <s v="997650001"/>
    <x v="40"/>
    <n v="1046"/>
    <n v="156.17"/>
    <m/>
  </r>
  <r>
    <n v="305"/>
    <x v="8"/>
    <x v="0"/>
    <s v="25"/>
    <s v="26.04.2023"/>
    <s v="26.04.2023"/>
    <x v="52"/>
    <s v="760601001"/>
    <x v="52"/>
    <n v="60000"/>
    <n v="10000"/>
    <m/>
  </r>
  <r>
    <n v="306"/>
    <x v="8"/>
    <x v="0"/>
    <s v="947"/>
    <s v="26.04.2023"/>
    <s v="26.04.2023"/>
    <x v="72"/>
    <s v="780601001"/>
    <x v="72"/>
    <n v="487420"/>
    <n v="81236.67"/>
    <m/>
  </r>
  <r>
    <n v="307"/>
    <x v="8"/>
    <x v="0"/>
    <s v="4985"/>
    <s v="01.05.2023"/>
    <s v="01.05.2023"/>
    <x v="39"/>
    <s v="503801001"/>
    <x v="39"/>
    <n v="30000"/>
    <n v="5000"/>
    <m/>
  </r>
  <r>
    <n v="308"/>
    <x v="8"/>
    <x v="0"/>
    <s v="14"/>
    <s v="02.05.2023"/>
    <s v="02.05.2023"/>
    <x v="92"/>
    <s v="710001001"/>
    <x v="92"/>
    <n v="552720"/>
    <n v="92120"/>
    <m/>
  </r>
  <r>
    <n v="309"/>
    <x v="8"/>
    <x v="0"/>
    <s v="119"/>
    <s v="02.05.2023"/>
    <s v="02.05.2023"/>
    <x v="93"/>
    <s v="761001001"/>
    <x v="93"/>
    <n v="137424"/>
    <n v="22904"/>
    <m/>
  </r>
  <r>
    <n v="310"/>
    <x v="8"/>
    <x v="0"/>
    <s v="51"/>
    <s v="04.05.2023"/>
    <s v="04.05.2023"/>
    <x v="79"/>
    <s v="771501001"/>
    <x v="79"/>
    <n v="680000"/>
    <n v="113333.33"/>
    <m/>
  </r>
  <r>
    <n v="311"/>
    <x v="8"/>
    <x v="0"/>
    <s v="170"/>
    <s v="04.05.2023"/>
    <s v="04.05.2023"/>
    <x v="94"/>
    <s v="507401001"/>
    <x v="94"/>
    <n v="27000"/>
    <n v="4500"/>
    <m/>
  </r>
  <r>
    <n v="312"/>
    <x v="8"/>
    <x v="0"/>
    <s v="5160086-МСК"/>
    <s v="29.09.2022"/>
    <s v="05.05.2023"/>
    <x v="9"/>
    <s v="997750001"/>
    <x v="9"/>
    <n v="4568"/>
    <n v="761.33"/>
    <m/>
  </r>
  <r>
    <n v="313"/>
    <x v="8"/>
    <x v="0"/>
    <s v="1265414/0021"/>
    <s v="05.05.2023"/>
    <s v="05.05.2023"/>
    <x v="40"/>
    <s v="997650001"/>
    <x v="40"/>
    <n v="766"/>
    <n v="120.33"/>
    <m/>
  </r>
  <r>
    <n v="314"/>
    <x v="8"/>
    <x v="0"/>
    <s v="1037"/>
    <s v="06.05.2023"/>
    <s v="06.05.2023"/>
    <x v="72"/>
    <s v="780601001"/>
    <x v="72"/>
    <n v="419430"/>
    <n v="69905"/>
    <m/>
  </r>
  <r>
    <n v="315"/>
    <x v="8"/>
    <x v="0"/>
    <s v="28481702"/>
    <s v="12.05.2023"/>
    <s v="12.05.2023"/>
    <x v="95"/>
    <s v="997350001"/>
    <x v="95"/>
    <n v="6930"/>
    <n v="1155"/>
    <m/>
  </r>
  <r>
    <n v="316"/>
    <x v="8"/>
    <x v="0"/>
    <s v="3782202-МСК"/>
    <s v="12.05.2023"/>
    <s v="12.05.2023"/>
    <x v="9"/>
    <s v="997750001"/>
    <x v="9"/>
    <n v="3440"/>
    <n v="573.33"/>
    <m/>
  </r>
  <r>
    <n v="317"/>
    <x v="8"/>
    <x v="0"/>
    <s v="13502"/>
    <s v="15.05.2023"/>
    <s v="15.05.2023"/>
    <x v="17"/>
    <s v="500101001"/>
    <x v="17"/>
    <n v="40000"/>
    <n v="6666.67"/>
    <m/>
  </r>
  <r>
    <n v="318"/>
    <x v="8"/>
    <x v="0"/>
    <s v="17"/>
    <s v="15.05.2023"/>
    <s v="15.05.2023"/>
    <x v="87"/>
    <s v=""/>
    <x v="87"/>
    <n v="1122398.01"/>
    <n v="187066.34"/>
    <m/>
  </r>
  <r>
    <n v="319"/>
    <x v="8"/>
    <x v="0"/>
    <s v="5579"/>
    <s v="15.05.2023"/>
    <s v="15.05.2023"/>
    <x v="39"/>
    <s v="503801001"/>
    <x v="39"/>
    <n v="30000"/>
    <n v="5000"/>
    <m/>
  </r>
  <r>
    <n v="320"/>
    <x v="8"/>
    <x v="0"/>
    <s v="53"/>
    <s v="16.05.2023"/>
    <s v="16.05.2023"/>
    <x v="30"/>
    <s v="891101001"/>
    <x v="30"/>
    <n v="233050"/>
    <n v="38841.67"/>
    <m/>
  </r>
  <r>
    <n v="321"/>
    <x v="8"/>
    <x v="0"/>
    <s v="5"/>
    <s v="17.05.2023"/>
    <s v="17.05.2023"/>
    <x v="44"/>
    <s v="055401001"/>
    <x v="44"/>
    <n v="757102"/>
    <n v="126183.66"/>
    <m/>
  </r>
  <r>
    <n v="322"/>
    <x v="8"/>
    <x v="0"/>
    <s v="764"/>
    <s v="17.05.2023"/>
    <s v="17.05.2023"/>
    <x v="91"/>
    <s v="504701001"/>
    <x v="91"/>
    <n v="350400"/>
    <n v="58400"/>
    <m/>
  </r>
  <r>
    <n v="323"/>
    <x v="8"/>
    <x v="0"/>
    <s v="20"/>
    <s v="22.05.2023"/>
    <s v="22.05.2023"/>
    <x v="87"/>
    <s v=""/>
    <x v="87"/>
    <n v="863440"/>
    <n v="143906.67"/>
    <m/>
  </r>
  <r>
    <n v="324"/>
    <x v="8"/>
    <x v="0"/>
    <s v="1169"/>
    <s v="22.05.2023"/>
    <s v="22.05.2023"/>
    <x v="72"/>
    <s v="780601001"/>
    <x v="72"/>
    <n v="455880"/>
    <n v="75980"/>
    <m/>
  </r>
  <r>
    <n v="325"/>
    <x v="8"/>
    <x v="0"/>
    <s v="103"/>
    <s v="22.05.2023"/>
    <s v="22.05.2023"/>
    <x v="96"/>
    <s v="504201001"/>
    <x v="96"/>
    <n v="33587.75"/>
    <n v="5597.96"/>
    <m/>
  </r>
  <r>
    <n v="326"/>
    <x v="8"/>
    <x v="0"/>
    <s v="21"/>
    <s v="23.05.2023"/>
    <s v="23.05.2023"/>
    <x v="87"/>
    <s v=""/>
    <x v="87"/>
    <n v="710000"/>
    <n v="118333.33"/>
    <m/>
  </r>
  <r>
    <n v="327"/>
    <x v="8"/>
    <x v="0"/>
    <s v="1598"/>
    <s v="23.05.2023"/>
    <s v="23.05.2023"/>
    <x v="97"/>
    <s v="504201001"/>
    <x v="97"/>
    <n v="18046.1"/>
    <n v="3007.68"/>
    <m/>
  </r>
  <r>
    <n v="328"/>
    <x v="8"/>
    <x v="0"/>
    <s v="2505/1"/>
    <s v="25.05.2023"/>
    <s v="25.05.2023"/>
    <x v="98"/>
    <s v="231101001"/>
    <x v="98"/>
    <n v="62000"/>
    <n v="10333.33"/>
    <m/>
  </r>
  <r>
    <n v="329"/>
    <x v="8"/>
    <x v="0"/>
    <s v="36"/>
    <s v="25.05.2023"/>
    <s v="25.05.2023"/>
    <x v="52"/>
    <s v="760601001"/>
    <x v="52"/>
    <n v="59080"/>
    <n v="9846.67"/>
    <m/>
  </r>
  <r>
    <n v="330"/>
    <x v="8"/>
    <x v="0"/>
    <s v="1203"/>
    <s v="26.05.2023"/>
    <s v="26.05.2023"/>
    <x v="72"/>
    <s v="780601001"/>
    <x v="72"/>
    <n v="616400"/>
    <n v="102733.33"/>
    <m/>
  </r>
  <r>
    <n v="331"/>
    <x v="8"/>
    <x v="0"/>
    <s v="Э/41/032020"/>
    <s v="31.05.2023"/>
    <s v="31.05.2023"/>
    <x v="99"/>
    <s v="997650001"/>
    <x v="99"/>
    <n v="27459.23"/>
    <n v="4576.54"/>
    <m/>
  </r>
  <r>
    <n v="332"/>
    <x v="8"/>
    <x v="0"/>
    <s v="1014499/0395"/>
    <s v="01.06.2023"/>
    <s v="01.06.2023"/>
    <x v="40"/>
    <s v="997650001"/>
    <x v="40"/>
    <n v="4482"/>
    <n v="667.5"/>
    <m/>
  </r>
  <r>
    <n v="333"/>
    <x v="8"/>
    <x v="0"/>
    <s v="15703"/>
    <s v="06.06.2023"/>
    <s v="06.06.2023"/>
    <x v="17"/>
    <s v="500101001"/>
    <x v="17"/>
    <n v="40000"/>
    <n v="6666.67"/>
    <m/>
  </r>
  <r>
    <n v="334"/>
    <x v="8"/>
    <x v="0"/>
    <s v="766"/>
    <s v="07.06.2023"/>
    <s v="07.06.2023"/>
    <x v="91"/>
    <s v="504701001"/>
    <x v="91"/>
    <n v="545760"/>
    <n v="90960"/>
    <m/>
  </r>
  <r>
    <n v="335"/>
    <x v="8"/>
    <x v="0"/>
    <s v="4850818-МСК"/>
    <s v="09.06.2023"/>
    <s v="09.06.2023"/>
    <x v="9"/>
    <s v="997750001"/>
    <x v="9"/>
    <n v="5140"/>
    <n v="856.66"/>
    <m/>
  </r>
  <r>
    <n v="336"/>
    <x v="8"/>
    <x v="0"/>
    <s v="1834"/>
    <s v="09.06.2023"/>
    <s v="09.06.2023"/>
    <x v="97"/>
    <s v="504201001"/>
    <x v="97"/>
    <n v="37444.5"/>
    <n v="6240.75"/>
    <m/>
  </r>
  <r>
    <n v="337"/>
    <x v="8"/>
    <x v="0"/>
    <s v="1341"/>
    <s v="13.06.2023"/>
    <s v="13.06.2023"/>
    <x v="72"/>
    <s v="780601001"/>
    <x v="72"/>
    <n v="398100"/>
    <n v="66350"/>
    <m/>
  </r>
  <r>
    <n v="338"/>
    <x v="8"/>
    <x v="0"/>
    <s v="В6131"/>
    <s v="13.06.2023"/>
    <s v="13.06.2023"/>
    <x v="75"/>
    <s v="770101001"/>
    <x v="75"/>
    <n v="661810"/>
    <n v="110301.67"/>
    <m/>
  </r>
  <r>
    <n v="339"/>
    <x v="8"/>
    <x v="0"/>
    <s v="П6131"/>
    <s v="13.06.2023"/>
    <s v="13.06.2023"/>
    <x v="75"/>
    <s v="770101001"/>
    <x v="75"/>
    <n v="41625"/>
    <n v="6937.5"/>
    <m/>
  </r>
  <r>
    <n v="340"/>
    <x v="8"/>
    <x v="0"/>
    <s v="00000000200"/>
    <s v="13.06.2023"/>
    <s v="13.06.2023"/>
    <x v="90"/>
    <s v="184001001"/>
    <x v="90"/>
    <n v="24000"/>
    <n v="4000"/>
    <m/>
  </r>
  <r>
    <n v="341"/>
    <x v="8"/>
    <x v="0"/>
    <s v="1352"/>
    <s v="14.06.2023"/>
    <s v="14.06.2023"/>
    <x v="72"/>
    <s v="780601001"/>
    <x v="72"/>
    <n v="377738"/>
    <n v="62956.33"/>
    <m/>
  </r>
  <r>
    <n v="342"/>
    <x v="8"/>
    <x v="0"/>
    <s v="36/1"/>
    <s v="14.06.2023"/>
    <s v="14.06.2023"/>
    <x v="86"/>
    <s v=""/>
    <x v="86"/>
    <n v="1624320"/>
    <n v="270720"/>
    <m/>
  </r>
  <r>
    <n v="343"/>
    <x v="8"/>
    <x v="0"/>
    <s v="1147"/>
    <s v="15.06.2023"/>
    <s v="15.06.2023"/>
    <x v="37"/>
    <s v="771501001"/>
    <x v="37"/>
    <n v="24400"/>
    <n v="4066.66"/>
    <m/>
  </r>
  <r>
    <n v="344"/>
    <x v="8"/>
    <x v="0"/>
    <s v="40587341202306180005"/>
    <s v="18.06.2023"/>
    <s v="18.06.2023"/>
    <x v="100"/>
    <s v="781001001"/>
    <x v="100"/>
    <n v="5090"/>
    <n v="848.33"/>
    <m/>
  </r>
  <r>
    <n v="345"/>
    <x v="8"/>
    <x v="0"/>
    <s v="40587341202306180005"/>
    <s v="18.06.2023"/>
    <s v="18.06.2023"/>
    <x v="100"/>
    <s v="781001001"/>
    <x v="100"/>
    <n v="5090"/>
    <n v="848.33"/>
    <m/>
  </r>
  <r>
    <n v="346"/>
    <x v="8"/>
    <x v="0"/>
    <s v="249"/>
    <s v="19.06.2023"/>
    <s v="19.06.2023"/>
    <x v="18"/>
    <s v="761001001"/>
    <x v="18"/>
    <n v="15750"/>
    <n v="2625"/>
    <m/>
  </r>
  <r>
    <n v="347"/>
    <x v="8"/>
    <x v="0"/>
    <s v="1344594/0002"/>
    <s v="19.06.2023"/>
    <s v="19.06.2023"/>
    <x v="40"/>
    <s v="997650001"/>
    <x v="40"/>
    <n v="722"/>
    <n v="103.33"/>
    <m/>
  </r>
  <r>
    <n v="348"/>
    <x v="8"/>
    <x v="0"/>
    <s v="51"/>
    <s v="21.06.2023"/>
    <s v="21.06.2023"/>
    <x v="101"/>
    <s v="682901001"/>
    <x v="101"/>
    <n v="402300"/>
    <n v="67050"/>
    <m/>
  </r>
  <r>
    <n v="349"/>
    <x v="8"/>
    <x v="0"/>
    <s v="17303"/>
    <s v="22.06.2023"/>
    <s v="22.06.2023"/>
    <x v="17"/>
    <s v="500101001"/>
    <x v="17"/>
    <n v="40000"/>
    <n v="6666.67"/>
    <m/>
  </r>
  <r>
    <n v="350"/>
    <x v="8"/>
    <x v="0"/>
    <s v="285"/>
    <s v="26.06.2023"/>
    <s v="26.06.2023"/>
    <x v="41"/>
    <s v="370201001"/>
    <x v="41"/>
    <n v="399598"/>
    <n v="66599.67"/>
    <m/>
  </r>
  <r>
    <n v="351"/>
    <x v="8"/>
    <x v="0"/>
    <s v="20230626-001"/>
    <s v="26.06.2023"/>
    <s v="26.06.2023"/>
    <x v="102"/>
    <s v="332701001"/>
    <x v="102"/>
    <n v="737360"/>
    <n v="122893.33"/>
    <m/>
  </r>
  <r>
    <n v="352"/>
    <x v="8"/>
    <x v="0"/>
    <s v="В6271"/>
    <s v="27.06.2023"/>
    <s v="27.06.2023"/>
    <x v="75"/>
    <s v="770101001"/>
    <x v="75"/>
    <n v="1850000"/>
    <n v="308333.33"/>
    <m/>
  </r>
  <r>
    <n v="353"/>
    <x v="8"/>
    <x v="0"/>
    <s v="1017157/0163"/>
    <s v="27.06.2023"/>
    <s v="27.06.2023"/>
    <x v="40"/>
    <s v="997650001"/>
    <x v="40"/>
    <n v="755"/>
    <n v="108.83"/>
    <m/>
  </r>
  <r>
    <n v="354"/>
    <x v="8"/>
    <x v="0"/>
    <s v="5007869/0389"/>
    <s v="27.06.2023"/>
    <s v="27.06.2023"/>
    <x v="40"/>
    <s v="997650001"/>
    <x v="40"/>
    <n v="300"/>
    <n v="50"/>
    <m/>
  </r>
  <r>
    <n v="355"/>
    <x v="8"/>
    <x v="0"/>
    <s v="5517891-МСК"/>
    <s v="27.06.2023"/>
    <s v="27.06.2023"/>
    <x v="9"/>
    <s v="997750001"/>
    <x v="9"/>
    <n v="2364"/>
    <n v="394"/>
    <m/>
  </r>
  <r>
    <n v="356"/>
    <x v="8"/>
    <x v="0"/>
    <s v="5517895-МСК"/>
    <s v="27.06.2023"/>
    <s v="27.06.2023"/>
    <x v="9"/>
    <s v="997750001"/>
    <x v="9"/>
    <n v="1828"/>
    <n v="304.67"/>
    <m/>
  </r>
  <r>
    <n v="357"/>
    <x v="8"/>
    <x v="0"/>
    <s v="38"/>
    <s v="28.06.2023"/>
    <s v="28.06.2023"/>
    <x v="103"/>
    <s v="695001001"/>
    <x v="103"/>
    <n v="332410"/>
    <n v="55401.67"/>
    <m/>
  </r>
  <r>
    <n v="358"/>
    <x v="8"/>
    <x v="0"/>
    <s v="Э/41/039082"/>
    <s v="30.06.2023"/>
    <s v="30.06.2023"/>
    <x v="99"/>
    <s v="997650001"/>
    <x v="99"/>
    <n v="24536.39"/>
    <n v="4089.4"/>
    <m/>
  </r>
  <r>
    <n v="359"/>
    <x v="9"/>
    <x v="0"/>
    <s v="545"/>
    <s v="05.07.2023"/>
    <s v="05.07.2023"/>
    <x v="104"/>
    <s v="401101001"/>
    <x v="104"/>
    <n v="473200"/>
    <n v="78866.67"/>
    <m/>
  </r>
  <r>
    <n v="360"/>
    <x v="9"/>
    <x v="0"/>
    <s v="19/1"/>
    <s v="05.07.2023"/>
    <s v="05.07.2023"/>
    <x v="105"/>
    <s v="761001001"/>
    <x v="105"/>
    <n v="45000"/>
    <n v="7500"/>
    <m/>
  </r>
  <r>
    <n v="361"/>
    <x v="9"/>
    <x v="0"/>
    <s v="1542"/>
    <s v="10.07.2023"/>
    <s v="10.07.2023"/>
    <x v="72"/>
    <s v="780601001"/>
    <x v="72"/>
    <n v="541180"/>
    <n v="90196.67"/>
    <m/>
  </r>
  <r>
    <n v="362"/>
    <x v="9"/>
    <x v="0"/>
    <s v="13"/>
    <s v="10.07.2023"/>
    <s v="10.07.2023"/>
    <x v="106"/>
    <s v="616401001"/>
    <x v="106"/>
    <n v="1200000"/>
    <n v="200000"/>
    <m/>
  </r>
  <r>
    <n v="363"/>
    <x v="9"/>
    <x v="0"/>
    <s v="1007"/>
    <s v="11.07.2023"/>
    <s v="11.07.2023"/>
    <x v="54"/>
    <s v="503601001"/>
    <x v="54"/>
    <n v="7812"/>
    <n v="1302"/>
    <m/>
  </r>
  <r>
    <n v="364"/>
    <x v="9"/>
    <x v="0"/>
    <s v="20/1/1"/>
    <s v="12.07.2023"/>
    <s v="12.07.2023"/>
    <x v="105"/>
    <s v="761001001"/>
    <x v="105"/>
    <n v="873600"/>
    <n v="145600"/>
    <m/>
  </r>
  <r>
    <n v="365"/>
    <x v="9"/>
    <x v="0"/>
    <s v="1223255/0139"/>
    <s v="13.07.2023"/>
    <s v="13.07.2023"/>
    <x v="40"/>
    <s v="997650001"/>
    <x v="40"/>
    <n v="1854"/>
    <n v="267"/>
    <m/>
  </r>
  <r>
    <n v="366"/>
    <x v="9"/>
    <x v="0"/>
    <s v="6126410-МСК"/>
    <s v="13.07.2023"/>
    <s v="13.07.2023"/>
    <x v="9"/>
    <s v="997750001"/>
    <x v="9"/>
    <n v="5697"/>
    <n v="949.5"/>
    <m/>
  </r>
  <r>
    <n v="367"/>
    <x v="9"/>
    <x v="0"/>
    <s v="1571"/>
    <s v="14.07.2023"/>
    <s v="14.07.2023"/>
    <x v="72"/>
    <s v="780601001"/>
    <x v="72"/>
    <n v="699600"/>
    <n v="116600"/>
    <m/>
  </r>
  <r>
    <n v="368"/>
    <x v="9"/>
    <x v="1"/>
    <s v="А4"/>
    <s v="24.02.2023"/>
    <s v=""/>
    <x v="3"/>
    <s v="504201001"/>
    <x v="3"/>
    <n v="6200"/>
    <n v="1033.33"/>
    <m/>
  </r>
  <r>
    <n v="369"/>
    <x v="9"/>
    <x v="0"/>
    <s v="9111"/>
    <s v="19.07.2023"/>
    <s v="19.07.2023"/>
    <x v="39"/>
    <s v="503801001"/>
    <x v="39"/>
    <n v="30000"/>
    <n v="5000"/>
    <m/>
  </r>
  <r>
    <n v="370"/>
    <x v="9"/>
    <x v="0"/>
    <s v="В7191"/>
    <s v="19.07.2023"/>
    <s v="19.07.2023"/>
    <x v="75"/>
    <s v="770101001"/>
    <x v="75"/>
    <n v="462500"/>
    <n v="77083.33"/>
    <m/>
  </r>
  <r>
    <n v="371"/>
    <x v="9"/>
    <x v="0"/>
    <s v="53"/>
    <s v="21.07.2023"/>
    <s v="21.07.2023"/>
    <x v="103"/>
    <s v="695001001"/>
    <x v="103"/>
    <n v="569260"/>
    <n v="94876.67"/>
    <m/>
  </r>
  <r>
    <n v="372"/>
    <x v="9"/>
    <x v="0"/>
    <s v="В7211"/>
    <s v="21.07.2023"/>
    <s v="21.07.2023"/>
    <x v="75"/>
    <s v="770101001"/>
    <x v="75"/>
    <n v="462500"/>
    <n v="77083.33"/>
    <m/>
  </r>
  <r>
    <n v="373"/>
    <x v="9"/>
    <x v="0"/>
    <s v="1653"/>
    <s v="25.07.2023"/>
    <s v="25.07.2023"/>
    <x v="72"/>
    <s v="780601001"/>
    <x v="72"/>
    <n v="459770"/>
    <n v="76628.33"/>
    <m/>
  </r>
  <r>
    <n v="374"/>
    <x v="9"/>
    <x v="0"/>
    <s v="1652"/>
    <s v="25.07.2023"/>
    <s v="25.07.2023"/>
    <x v="72"/>
    <s v="780601001"/>
    <x v="72"/>
    <n v="474810"/>
    <n v="79135"/>
    <m/>
  </r>
  <r>
    <n v="375"/>
    <x v="9"/>
    <x v="0"/>
    <s v="1658"/>
    <s v="26.07.2023"/>
    <s v="26.07.2023"/>
    <x v="72"/>
    <s v="780601001"/>
    <x v="72"/>
    <n v="573080"/>
    <n v="95513.33"/>
    <m/>
  </r>
  <r>
    <n v="376"/>
    <x v="9"/>
    <x v="0"/>
    <s v="20802"/>
    <s v="27.07.2023"/>
    <s v="27.07.2023"/>
    <x v="17"/>
    <s v="500101001"/>
    <x v="17"/>
    <n v="40000"/>
    <n v="6666.67"/>
    <m/>
  </r>
  <r>
    <n v="377"/>
    <x v="9"/>
    <x v="0"/>
    <s v="B7271"/>
    <s v="27.07.2023"/>
    <s v="27.07.2023"/>
    <x v="75"/>
    <s v="770101001"/>
    <x v="75"/>
    <n v="462500"/>
    <n v="77083.33"/>
    <m/>
  </r>
  <r>
    <n v="378"/>
    <x v="9"/>
    <x v="0"/>
    <s v="1224"/>
    <s v="27.07.2023"/>
    <s v="28.07.2023"/>
    <x v="107"/>
    <s v="027301001"/>
    <x v="107"/>
    <n v="96000"/>
    <n v="16000"/>
    <m/>
  </r>
  <r>
    <n v="379"/>
    <x v="9"/>
    <x v="0"/>
    <s v="Э/41/046095"/>
    <s v="31.07.2023"/>
    <s v="31.07.2023"/>
    <x v="99"/>
    <s v="997650001"/>
    <x v="99"/>
    <n v="48679.52"/>
    <n v="8113.25"/>
    <m/>
  </r>
  <r>
    <n v="380"/>
    <x v="9"/>
    <x v="0"/>
    <s v="9653"/>
    <s v="31.07.2023"/>
    <s v="31.07.2023"/>
    <x v="39"/>
    <s v="503801001"/>
    <x v="39"/>
    <n v="90000"/>
    <n v="15000"/>
    <m/>
  </r>
  <r>
    <n v="381"/>
    <x v="9"/>
    <x v="0"/>
    <s v="В8011"/>
    <s v="01.08.2023"/>
    <s v="01.08.2023"/>
    <x v="75"/>
    <s v="770101001"/>
    <x v="75"/>
    <n v="462500"/>
    <n v="77083.33"/>
    <m/>
  </r>
  <r>
    <n v="382"/>
    <x v="9"/>
    <x v="0"/>
    <s v="6815842-МСК"/>
    <s v="01.08.2023"/>
    <s v="01.08.2023"/>
    <x v="9"/>
    <s v="997750001"/>
    <x v="9"/>
    <n v="7593"/>
    <n v="1265.5"/>
    <m/>
  </r>
  <r>
    <n v="383"/>
    <x v="9"/>
    <x v="0"/>
    <s v="6815845-МСК"/>
    <s v="01.08.2023"/>
    <s v="01.08.2023"/>
    <x v="9"/>
    <s v="997750001"/>
    <x v="9"/>
    <n v="3680"/>
    <n v="613.33"/>
    <m/>
  </r>
  <r>
    <n v="384"/>
    <x v="9"/>
    <x v="0"/>
    <s v="6957772-МСК"/>
    <s v="04.08.2023"/>
    <s v="04.08.2023"/>
    <x v="9"/>
    <s v="997750001"/>
    <x v="9"/>
    <n v="5266"/>
    <n v="877.67"/>
    <m/>
  </r>
  <r>
    <n v="385"/>
    <x v="9"/>
    <x v="0"/>
    <s v="24/1/1"/>
    <s v="05.08.2023"/>
    <s v="05.08.2023"/>
    <x v="105"/>
    <s v="761001001"/>
    <x v="105"/>
    <n v="812200"/>
    <n v="135366.67"/>
    <m/>
  </r>
  <r>
    <n v="386"/>
    <x v="9"/>
    <x v="0"/>
    <s v="775"/>
    <s v="08.08.2023"/>
    <s v="08.08.2023"/>
    <x v="108"/>
    <s v="772001001"/>
    <x v="108"/>
    <n v="20000"/>
    <n v="3333.33"/>
    <m/>
  </r>
  <r>
    <n v="387"/>
    <x v="9"/>
    <x v="0"/>
    <s v="75"/>
    <s v="09.08.2023"/>
    <s v="09.08.2023"/>
    <x v="103"/>
    <s v="695001001"/>
    <x v="103"/>
    <n v="492534"/>
    <n v="82089"/>
    <m/>
  </r>
  <r>
    <n v="388"/>
    <x v="9"/>
    <x v="0"/>
    <s v="6126410-МСК"/>
    <s v="13.08.2023"/>
    <s v="13.08.2023"/>
    <x v="9"/>
    <s v="997750001"/>
    <x v="9"/>
    <n v="5697"/>
    <n v="949.5"/>
    <m/>
  </r>
  <r>
    <n v="389"/>
    <x v="9"/>
    <x v="0"/>
    <s v="1790"/>
    <s v="13.08.2023"/>
    <s v="13.08.2023"/>
    <x v="72"/>
    <s v="780601001"/>
    <x v="72"/>
    <n v="514560"/>
    <n v="85760"/>
    <m/>
  </r>
  <r>
    <n v="390"/>
    <x v="9"/>
    <x v="0"/>
    <s v="1608/1"/>
    <s v="16.08.2023"/>
    <s v="16.08.2023"/>
    <x v="98"/>
    <s v="231101001"/>
    <x v="98"/>
    <n v="68700"/>
    <n v="11450"/>
    <m/>
  </r>
  <r>
    <n v="391"/>
    <x v="9"/>
    <x v="0"/>
    <s v="20230818-013183"/>
    <s v="18.08.2023"/>
    <s v="18.08.2023"/>
    <x v="109"/>
    <s v="997750001"/>
    <x v="109"/>
    <n v="1459"/>
    <n v="243.17"/>
    <m/>
  </r>
  <r>
    <n v="392"/>
    <x v="9"/>
    <x v="0"/>
    <s v="20230818-013182"/>
    <s v="18.08.2023"/>
    <s v="18.08.2023"/>
    <x v="109"/>
    <s v="997750001"/>
    <x v="109"/>
    <n v="1459"/>
    <n v="243.17"/>
    <m/>
  </r>
  <r>
    <n v="393"/>
    <x v="9"/>
    <x v="0"/>
    <s v="В8201"/>
    <s v="20.08.2023"/>
    <s v="20.08.2023"/>
    <x v="75"/>
    <s v="770101001"/>
    <x v="75"/>
    <n v="812700"/>
    <n v="135450"/>
    <m/>
  </r>
  <r>
    <n v="394"/>
    <x v="9"/>
    <x v="0"/>
    <s v="1022093/0395"/>
    <s v="22.08.2023"/>
    <s v="22.08.2023"/>
    <x v="40"/>
    <s v="997650001"/>
    <x v="40"/>
    <n v="2305"/>
    <n v="312.51"/>
    <m/>
  </r>
  <r>
    <n v="395"/>
    <x v="9"/>
    <x v="0"/>
    <s v="10937"/>
    <s v="22.08.2023"/>
    <s v="22.08.2023"/>
    <x v="39"/>
    <s v="503801001"/>
    <x v="39"/>
    <n v="30000"/>
    <n v="5000"/>
    <m/>
  </r>
  <r>
    <n v="396"/>
    <x v="9"/>
    <x v="0"/>
    <s v="155"/>
    <s v="22.08.2023"/>
    <s v="22.08.2023"/>
    <x v="110"/>
    <s v="503601001"/>
    <x v="110"/>
    <n v="42000"/>
    <n v="7000"/>
    <m/>
  </r>
  <r>
    <n v="397"/>
    <x v="9"/>
    <x v="0"/>
    <s v="1875"/>
    <s v="25.08.2023"/>
    <s v="25.08.2023"/>
    <x v="72"/>
    <s v="780601001"/>
    <x v="72"/>
    <n v="469260"/>
    <n v="78210"/>
    <m/>
  </r>
  <r>
    <n v="398"/>
    <x v="9"/>
    <x v="0"/>
    <s v="1675"/>
    <s v="25.08.2023"/>
    <s v="25.08.2023"/>
    <x v="37"/>
    <s v="771501001"/>
    <x v="37"/>
    <n v="8000"/>
    <n v="1333.34"/>
    <m/>
  </r>
  <r>
    <n v="399"/>
    <x v="9"/>
    <x v="0"/>
    <s v="В8282"/>
    <s v="28.08.2023"/>
    <s v="28.08.2023"/>
    <x v="75"/>
    <s v="770101001"/>
    <x v="75"/>
    <n v="485000"/>
    <n v="80833.33"/>
    <m/>
  </r>
  <r>
    <n v="400"/>
    <x v="9"/>
    <x v="0"/>
    <s v="1903"/>
    <s v="29.08.2023"/>
    <s v="29.08.2023"/>
    <x v="72"/>
    <s v="780601001"/>
    <x v="72"/>
    <n v="462250"/>
    <n v="77041.66"/>
    <m/>
  </r>
  <r>
    <n v="401"/>
    <x v="9"/>
    <x v="0"/>
    <s v="1530979/0002"/>
    <s v="30.08.2023"/>
    <s v="30.08.2023"/>
    <x v="40"/>
    <s v="997650001"/>
    <x v="40"/>
    <n v="588"/>
    <n v="85.67"/>
    <m/>
  </r>
  <r>
    <n v="402"/>
    <x v="9"/>
    <x v="0"/>
    <s v="В8301"/>
    <s v="30.08.2023"/>
    <s v="30.08.2023"/>
    <x v="75"/>
    <s v="770101001"/>
    <x v="75"/>
    <n v="48500"/>
    <n v="8083.33"/>
    <m/>
  </r>
  <r>
    <n v="403"/>
    <x v="9"/>
    <x v="0"/>
    <s v="Э/41/053139"/>
    <s v="31.08.2023"/>
    <s v="31.08.2023"/>
    <x v="99"/>
    <s v="997650001"/>
    <x v="99"/>
    <n v="30506.46"/>
    <n v="5084.41"/>
    <m/>
  </r>
  <r>
    <n v="404"/>
    <x v="9"/>
    <x v="0"/>
    <s v="В9011"/>
    <s v="01.09.2023"/>
    <s v="01.09.2023"/>
    <x v="75"/>
    <s v="770101001"/>
    <x v="75"/>
    <n v="160025"/>
    <n v="26670.83"/>
    <m/>
  </r>
  <r>
    <n v="405"/>
    <x v="9"/>
    <x v="0"/>
    <s v="6925234"/>
    <s v="04.09.2023"/>
    <s v="04.09.2023"/>
    <x v="111"/>
    <s v="997750001"/>
    <x v="111"/>
    <n v="5"/>
    <n v="0.83"/>
    <m/>
  </r>
  <r>
    <n v="406"/>
    <x v="9"/>
    <x v="0"/>
    <s v="1945"/>
    <s v="05.09.2023"/>
    <s v="05.09.2023"/>
    <x v="72"/>
    <s v="780601001"/>
    <x v="72"/>
    <n v="820800"/>
    <n v="136800"/>
    <m/>
  </r>
  <r>
    <n v="407"/>
    <x v="9"/>
    <x v="0"/>
    <s v="111"/>
    <s v="05.09.2023"/>
    <s v="05.09.2023"/>
    <x v="103"/>
    <s v="695001001"/>
    <x v="103"/>
    <n v="716768"/>
    <n v="119461.33"/>
    <m/>
  </r>
  <r>
    <n v="408"/>
    <x v="9"/>
    <x v="0"/>
    <s v="25006"/>
    <s v="07.09.2023"/>
    <s v="07.09.2023"/>
    <x v="17"/>
    <s v="500101001"/>
    <x v="17"/>
    <n v="40000"/>
    <n v="6666.67"/>
    <m/>
  </r>
  <r>
    <n v="409"/>
    <x v="9"/>
    <x v="0"/>
    <s v="182"/>
    <s v="08.09.2023"/>
    <s v="08.09.2023"/>
    <x v="112"/>
    <s v="370201001"/>
    <x v="112"/>
    <n v="67500"/>
    <n v="11250"/>
    <m/>
  </r>
  <r>
    <n v="410"/>
    <x v="9"/>
    <x v="0"/>
    <s v="121"/>
    <s v="11.09.2023"/>
    <s v="11.09.2023"/>
    <x v="103"/>
    <s v="695001001"/>
    <x v="103"/>
    <n v="565020"/>
    <n v="94170"/>
    <m/>
  </r>
  <r>
    <n v="411"/>
    <x v="9"/>
    <x v="0"/>
    <s v="8322035-МСК"/>
    <s v="11.09.2023"/>
    <s v="11.09.2023"/>
    <x v="9"/>
    <s v="997750001"/>
    <x v="9"/>
    <n v="1690"/>
    <n v="281.67"/>
    <m/>
  </r>
  <r>
    <n v="412"/>
    <x v="9"/>
    <x v="0"/>
    <s v="2639"/>
    <s v="13.09.2023"/>
    <s v="13.09.2023"/>
    <x v="113"/>
    <s v="500801001"/>
    <x v="113"/>
    <n v="8132"/>
    <n v="1355.33"/>
    <m/>
  </r>
  <r>
    <n v="413"/>
    <x v="9"/>
    <x v="0"/>
    <s v="В9131"/>
    <s v="13.09.2023"/>
    <s v="13.09.2023"/>
    <x v="75"/>
    <s v="770101001"/>
    <x v="75"/>
    <n v="98000"/>
    <n v="16333.33"/>
    <m/>
  </r>
  <r>
    <n v="414"/>
    <x v="9"/>
    <x v="0"/>
    <s v="1789"/>
    <s v="13.09.2023"/>
    <s v="13.09.2023"/>
    <x v="37"/>
    <s v="771501001"/>
    <x v="37"/>
    <n v="24900"/>
    <n v="4150"/>
    <m/>
  </r>
  <r>
    <n v="415"/>
    <x v="9"/>
    <x v="0"/>
    <s v="7814884"/>
    <s v="14.09.2023"/>
    <s v="14.09.2023"/>
    <x v="111"/>
    <s v="997750001"/>
    <x v="111"/>
    <n v="5"/>
    <n v="0.83"/>
    <m/>
  </r>
  <r>
    <n v="416"/>
    <x v="9"/>
    <x v="0"/>
    <s v="2009"/>
    <s v="14.09.2023"/>
    <s v="14.09.2023"/>
    <x v="72"/>
    <s v="780601001"/>
    <x v="72"/>
    <n v="444960"/>
    <n v="74160"/>
    <m/>
  </r>
  <r>
    <n v="417"/>
    <x v="9"/>
    <x v="0"/>
    <s v="2010"/>
    <s v="14.09.2023"/>
    <s v="14.09.2023"/>
    <x v="72"/>
    <s v="780601001"/>
    <x v="72"/>
    <n v="428600"/>
    <n v="71433.33"/>
    <m/>
  </r>
  <r>
    <n v="418"/>
    <x v="9"/>
    <x v="0"/>
    <s v="38/1/1"/>
    <s v="15.09.2023"/>
    <s v="15.09.2023"/>
    <x v="105"/>
    <s v="761001001"/>
    <x v="105"/>
    <n v="568250"/>
    <n v="94708.33"/>
    <m/>
  </r>
  <r>
    <n v="419"/>
    <x v="9"/>
    <x v="0"/>
    <s v="2020"/>
    <s v="16.09.2023"/>
    <s v="16.09.2023"/>
    <x v="72"/>
    <s v="780601001"/>
    <x v="72"/>
    <n v="504200"/>
    <n v="84033.33"/>
    <m/>
  </r>
  <r>
    <n v="420"/>
    <x v="9"/>
    <x v="0"/>
    <s v="12445"/>
    <s v="18.09.2023"/>
    <s v="18.09.2023"/>
    <x v="39"/>
    <s v="503801001"/>
    <x v="39"/>
    <n v="33600"/>
    <n v="5600"/>
    <m/>
  </r>
  <r>
    <n v="421"/>
    <x v="9"/>
    <x v="1"/>
    <s v="А18"/>
    <s v="16.09.2023"/>
    <s v=""/>
    <x v="3"/>
    <s v="504201001"/>
    <x v="3"/>
    <n v="475945"/>
    <n v="11579.17"/>
    <m/>
  </r>
  <r>
    <n v="422"/>
    <x v="9"/>
    <x v="0"/>
    <s v="1587489/0002"/>
    <s v="18.09.2023"/>
    <s v="18.09.2023"/>
    <x v="40"/>
    <s v="997650001"/>
    <x v="40"/>
    <n v="663"/>
    <n v="93.33"/>
    <m/>
  </r>
  <r>
    <n v="423"/>
    <x v="9"/>
    <x v="0"/>
    <s v="8616057-МСК"/>
    <s v="18.09.2023"/>
    <s v="18.09.2023"/>
    <x v="9"/>
    <s v="997750001"/>
    <x v="9"/>
    <n v="3092"/>
    <n v="515.33"/>
    <m/>
  </r>
  <r>
    <n v="424"/>
    <x v="9"/>
    <x v="0"/>
    <s v="8616038-МСК"/>
    <s v="18.09.2023"/>
    <s v="18.09.2023"/>
    <x v="9"/>
    <s v="997750001"/>
    <x v="9"/>
    <n v="6212"/>
    <n v="1035.34"/>
    <m/>
  </r>
  <r>
    <n v="425"/>
    <x v="9"/>
    <x v="0"/>
    <s v="2035"/>
    <s v="19.09.2023"/>
    <s v="19.09.2023"/>
    <x v="72"/>
    <s v="780601001"/>
    <x v="72"/>
    <n v="705240"/>
    <n v="117540"/>
    <m/>
  </r>
  <r>
    <n v="426"/>
    <x v="9"/>
    <x v="0"/>
    <s v="В9191"/>
    <s v="19.09.2023"/>
    <s v="19.09.2023"/>
    <x v="75"/>
    <s v="770101001"/>
    <x v="75"/>
    <n v="1926000"/>
    <n v="321000"/>
    <m/>
  </r>
  <r>
    <n v="427"/>
    <x v="9"/>
    <x v="0"/>
    <s v="205"/>
    <s v="19.09.2023"/>
    <s v="19.09.2023"/>
    <x v="112"/>
    <s v="370201001"/>
    <x v="112"/>
    <n v="86112"/>
    <n v="14352"/>
    <m/>
  </r>
  <r>
    <n v="428"/>
    <x v="9"/>
    <x v="0"/>
    <s v="2009/1"/>
    <s v="20.09.2023"/>
    <s v="20.09.2023"/>
    <x v="98"/>
    <s v="231101001"/>
    <x v="98"/>
    <n v="27400"/>
    <n v="4566.67"/>
    <m/>
  </r>
  <r>
    <n v="429"/>
    <x v="9"/>
    <x v="0"/>
    <s v="1026597/0395"/>
    <s v="25.09.2023"/>
    <s v="25.09.2023"/>
    <x v="40"/>
    <s v="997650001"/>
    <x v="40"/>
    <n v="1214"/>
    <n v="192.34"/>
    <m/>
  </r>
  <r>
    <n v="430"/>
    <x v="9"/>
    <x v="0"/>
    <s v="8907679-МСК"/>
    <s v="25.09.2023"/>
    <s v="25.09.2023"/>
    <x v="9"/>
    <s v="997750001"/>
    <x v="9"/>
    <n v="7960"/>
    <n v="1326.67"/>
    <m/>
  </r>
  <r>
    <n v="431"/>
    <x v="9"/>
    <x v="0"/>
    <s v="8907675-МСК"/>
    <s v="25.09.2023"/>
    <s v="25.09.2023"/>
    <x v="9"/>
    <s v="997750001"/>
    <x v="9"/>
    <n v="432"/>
    <n v="72"/>
    <m/>
  </r>
  <r>
    <n v="432"/>
    <x v="9"/>
    <x v="0"/>
    <s v="464"/>
    <s v="26.09.2023"/>
    <s v="26.09.2023"/>
    <x v="18"/>
    <s v="761001001"/>
    <x v="18"/>
    <n v="46400"/>
    <n v="7733.33"/>
    <m/>
  </r>
  <r>
    <n v="433"/>
    <x v="9"/>
    <x v="0"/>
    <s v="185"/>
    <s v="26.09.2023"/>
    <s v="26.09.2023"/>
    <x v="110"/>
    <s v="503601001"/>
    <x v="110"/>
    <n v="42000"/>
    <n v="7000"/>
    <m/>
  </r>
  <r>
    <n v="434"/>
    <x v="9"/>
    <x v="0"/>
    <s v="1030604/0163"/>
    <s v="28.09.2023"/>
    <s v="28.09.2023"/>
    <x v="40"/>
    <s v="997650001"/>
    <x v="40"/>
    <n v="954"/>
    <n v="137.67"/>
    <m/>
  </r>
  <r>
    <n v="435"/>
    <x v="9"/>
    <x v="0"/>
    <s v="226"/>
    <s v="28.09.2023"/>
    <s v="28.09.2023"/>
    <x v="112"/>
    <s v="370201001"/>
    <x v="112"/>
    <n v="85800"/>
    <n v="14300"/>
    <m/>
  </r>
  <r>
    <n v="436"/>
    <x v="9"/>
    <x v="0"/>
    <s v="Э/41/060316"/>
    <s v="30.09.2023"/>
    <s v="30.09.2023"/>
    <x v="99"/>
    <s v="997650001"/>
    <x v="99"/>
    <n v="48426.7"/>
    <n v="8071.12"/>
    <m/>
  </r>
  <r>
    <n v="437"/>
    <x v="9"/>
    <x v="0"/>
    <s v="39/1/1"/>
    <s v="30.09.2023"/>
    <s v="30.09.2023"/>
    <x v="105"/>
    <s v="761001001"/>
    <x v="105"/>
    <n v="623150"/>
    <n v="103858.33"/>
    <m/>
  </r>
  <r>
    <n v="438"/>
    <x v="10"/>
    <x v="0"/>
    <s v="9459"/>
    <s v="03.10.2022"/>
    <s v="03.10.2022"/>
    <x v="39"/>
    <s v="503801001"/>
    <x v="39"/>
    <n v="30000"/>
    <n v="5000"/>
    <m/>
  </r>
  <r>
    <n v="439"/>
    <x v="10"/>
    <x v="0"/>
    <s v="1746"/>
    <s v="08.08.2023"/>
    <s v="01.10.2023"/>
    <x v="72"/>
    <s v="780601001"/>
    <x v="72"/>
    <n v="396900"/>
    <n v="66150"/>
    <m/>
  </r>
  <r>
    <n v="440"/>
    <x v="10"/>
    <x v="0"/>
    <s v="402/01"/>
    <s v="04.02.2023"/>
    <s v="01.10.2023"/>
    <x v="114"/>
    <s v="366401001"/>
    <x v="114"/>
    <n v="5000"/>
    <n v="833.33"/>
    <m/>
  </r>
  <r>
    <n v="441"/>
    <x v="10"/>
    <x v="0"/>
    <s v="51"/>
    <s v="14.09.2023"/>
    <s v="01.10.2023"/>
    <x v="115"/>
    <s v="332901001"/>
    <x v="115"/>
    <n v="367520"/>
    <n v="61253.33"/>
    <m/>
  </r>
  <r>
    <n v="442"/>
    <x v="10"/>
    <x v="0"/>
    <s v="210"/>
    <s v="21.09.2023"/>
    <s v="01.10.2023"/>
    <x v="112"/>
    <s v="370201001"/>
    <x v="112"/>
    <n v="85644"/>
    <n v="14274"/>
    <m/>
  </r>
  <r>
    <n v="443"/>
    <x v="10"/>
    <x v="0"/>
    <s v="В10031"/>
    <s v="03.10.2023"/>
    <s v="03.10.2023"/>
    <x v="75"/>
    <s v="770101001"/>
    <x v="75"/>
    <n v="1940000"/>
    <n v="323333.33"/>
    <m/>
  </r>
  <r>
    <n v="444"/>
    <x v="10"/>
    <x v="1"/>
    <s v="А18"/>
    <s v="16.09.2023"/>
    <s v=""/>
    <x v="3"/>
    <s v="504201001"/>
    <x v="3"/>
    <n v="475945"/>
    <n v="67744.99"/>
    <m/>
  </r>
  <r>
    <n v="445"/>
    <x v="10"/>
    <x v="1"/>
    <s v="А19"/>
    <s v="26.09.2023"/>
    <s v=""/>
    <x v="3"/>
    <s v="504201001"/>
    <x v="3"/>
    <n v="400000"/>
    <n v="66666.67"/>
    <m/>
  </r>
  <r>
    <n v="446"/>
    <x v="10"/>
    <x v="1"/>
    <s v="А20"/>
    <s v="30.09.2023"/>
    <s v=""/>
    <x v="3"/>
    <s v="504201001"/>
    <x v="3"/>
    <n v="960000"/>
    <n v="160000"/>
    <m/>
  </r>
  <r>
    <n v="447"/>
    <x v="10"/>
    <x v="0"/>
    <s v="В10091"/>
    <s v="09.10.2023"/>
    <s v="09.10.2023"/>
    <x v="75"/>
    <s v="770101001"/>
    <x v="75"/>
    <n v="1960000"/>
    <n v="326666.67"/>
    <m/>
  </r>
  <r>
    <n v="448"/>
    <x v="10"/>
    <x v="0"/>
    <s v="И-2328300001"/>
    <s v="10.10.2023"/>
    <s v="10.10.2023"/>
    <x v="116"/>
    <s v="770101001"/>
    <x v="116"/>
    <n v="33325"/>
    <n v="5554.17"/>
    <m/>
  </r>
  <r>
    <n v="449"/>
    <x v="10"/>
    <x v="0"/>
    <s v="9564478-МСК"/>
    <s v="11.10.2023"/>
    <s v="11.10.2023"/>
    <x v="9"/>
    <s v="997750001"/>
    <x v="9"/>
    <n v="2202"/>
    <n v="367.01"/>
    <m/>
  </r>
  <r>
    <n v="450"/>
    <x v="10"/>
    <x v="0"/>
    <s v="28504"/>
    <s v="12.10.2023"/>
    <s v="12.10.2023"/>
    <x v="17"/>
    <s v="500101001"/>
    <x v="17"/>
    <n v="40000"/>
    <n v="6666.67"/>
    <m/>
  </r>
  <r>
    <n v="451"/>
    <x v="10"/>
    <x v="0"/>
    <s v="389493/141"/>
    <s v="13.10.2023"/>
    <s v="13.10.2023"/>
    <x v="111"/>
    <s v="997750001"/>
    <x v="111"/>
    <n v="2460"/>
    <n v="410"/>
    <m/>
  </r>
  <r>
    <n v="452"/>
    <x v="10"/>
    <x v="0"/>
    <s v="2196"/>
    <s v="13.10.2023"/>
    <s v="13.10.2023"/>
    <x v="72"/>
    <s v="780601001"/>
    <x v="72"/>
    <n v="409860"/>
    <n v="68310"/>
    <m/>
  </r>
  <r>
    <n v="453"/>
    <x v="10"/>
    <x v="0"/>
    <s v="2224"/>
    <s v="17.10.2023"/>
    <s v="17.10.2023"/>
    <x v="72"/>
    <s v="780601001"/>
    <x v="72"/>
    <n v="442500"/>
    <n v="73750"/>
    <m/>
  </r>
  <r>
    <n v="454"/>
    <x v="10"/>
    <x v="0"/>
    <s v="В10181"/>
    <s v="18.10.2023"/>
    <s v="18.10.2023"/>
    <x v="75"/>
    <s v="770101001"/>
    <x v="75"/>
    <n v="97000"/>
    <n v="16166.67"/>
    <m/>
  </r>
  <r>
    <n v="455"/>
    <x v="10"/>
    <x v="0"/>
    <s v="9843751-МСК"/>
    <s v="18.10.2023"/>
    <s v="18.10.2023"/>
    <x v="9"/>
    <s v="997750001"/>
    <x v="9"/>
    <n v="1179"/>
    <n v="196.5"/>
    <m/>
  </r>
  <r>
    <n v="456"/>
    <x v="10"/>
    <x v="0"/>
    <s v="9843748-МСК"/>
    <s v="18.10.2023"/>
    <s v="18.10.2023"/>
    <x v="9"/>
    <s v="997750001"/>
    <x v="9"/>
    <n v="1722"/>
    <n v="287"/>
    <m/>
  </r>
  <r>
    <n v="457"/>
    <x v="10"/>
    <x v="0"/>
    <s v="У2442"/>
    <s v="19.10.2023"/>
    <s v="19.10.2023"/>
    <x v="117"/>
    <s v="772401001"/>
    <x v="117"/>
    <n v="21492"/>
    <n v="3582"/>
    <m/>
  </r>
  <r>
    <n v="458"/>
    <x v="10"/>
    <x v="0"/>
    <s v="14043"/>
    <s v="20.10.2023"/>
    <s v="20.10.2023"/>
    <x v="39"/>
    <s v="503801001"/>
    <x v="39"/>
    <n v="33600"/>
    <n v="5600"/>
    <m/>
  </r>
  <r>
    <n v="459"/>
    <x v="10"/>
    <x v="0"/>
    <s v="9941656-МСК"/>
    <s v="20.10.2023"/>
    <s v="20.10.2023"/>
    <x v="9"/>
    <s v="997750001"/>
    <x v="9"/>
    <n v="6715"/>
    <n v="1119.17"/>
    <m/>
  </r>
  <r>
    <n v="460"/>
    <x v="10"/>
    <x v="0"/>
    <s v="1098070/0132"/>
    <s v="23.10.2023"/>
    <s v="23.10.2023"/>
    <x v="40"/>
    <s v="997650001"/>
    <x v="40"/>
    <n v="638"/>
    <n v="94.5"/>
    <m/>
  </r>
  <r>
    <n v="461"/>
    <x v="10"/>
    <x v="0"/>
    <s v="В10231"/>
    <s v="23.10.2023"/>
    <s v="23.10.2023"/>
    <x v="75"/>
    <s v="770101001"/>
    <x v="75"/>
    <n v="970000"/>
    <n v="161666.67"/>
    <m/>
  </r>
  <r>
    <n v="462"/>
    <x v="10"/>
    <x v="1"/>
    <s v="А22"/>
    <s v="21.10.2023"/>
    <s v=""/>
    <x v="3"/>
    <s v="504201001"/>
    <x v="3"/>
    <n v="98000"/>
    <n v="16333.33"/>
    <m/>
  </r>
  <r>
    <n v="463"/>
    <x v="10"/>
    <x v="0"/>
    <s v="1832"/>
    <s v="25.10.2023"/>
    <s v="25.10.2023"/>
    <x v="118"/>
    <s v="504201001"/>
    <x v="118"/>
    <n v="1620"/>
    <n v="270"/>
    <m/>
  </r>
  <r>
    <n v="464"/>
    <x v="10"/>
    <x v="0"/>
    <s v="116601/731"/>
    <s v="26.10.2023"/>
    <s v="26.10.2023"/>
    <x v="111"/>
    <s v="997750001"/>
    <x v="111"/>
    <n v="17214"/>
    <n v="2869.02"/>
    <m/>
  </r>
  <r>
    <n v="465"/>
    <x v="10"/>
    <x v="0"/>
    <s v="186"/>
    <s v="27.10.2023"/>
    <s v="27.10.2023"/>
    <x v="103"/>
    <s v="695001001"/>
    <x v="103"/>
    <n v="454680"/>
    <n v="75780"/>
    <m/>
  </r>
  <r>
    <n v="466"/>
    <x v="10"/>
    <x v="0"/>
    <s v="В10271"/>
    <s v="27.10.2023"/>
    <s v="27.10.2023"/>
    <x v="75"/>
    <s v="770101001"/>
    <x v="75"/>
    <n v="1920000"/>
    <n v="320000"/>
    <m/>
  </r>
  <r>
    <n v="467"/>
    <x v="10"/>
    <x v="0"/>
    <s v="УТ-282"/>
    <s v="31.10.2023"/>
    <s v="31.10.2023"/>
    <x v="119"/>
    <s v="771601001"/>
    <x v="119"/>
    <n v="22380"/>
    <n v="3730"/>
    <m/>
  </r>
  <r>
    <n v="468"/>
    <x v="10"/>
    <x v="1"/>
    <s v="А24"/>
    <s v="29.10.2023"/>
    <s v=""/>
    <x v="3"/>
    <s v="504201001"/>
    <x v="3"/>
    <n v="980000"/>
    <n v="163333.33"/>
    <m/>
  </r>
  <r>
    <n v="469"/>
    <x v="10"/>
    <x v="1"/>
    <s v="А25"/>
    <s v="31.10.2023"/>
    <s v=""/>
    <x v="3"/>
    <s v="504201001"/>
    <x v="3"/>
    <n v="980000"/>
    <n v="163333.33"/>
    <m/>
  </r>
  <r>
    <n v="470"/>
    <x v="10"/>
    <x v="0"/>
    <s v="1335303/0130"/>
    <s v="02.11.2023"/>
    <s v="02.11.2023"/>
    <x v="40"/>
    <s v="997650001"/>
    <x v="40"/>
    <n v="3857"/>
    <n v="563.17"/>
    <m/>
  </r>
  <r>
    <n v="471"/>
    <x v="10"/>
    <x v="0"/>
    <s v="0211/3"/>
    <s v="02.11.2023"/>
    <s v="02.11.2023"/>
    <x v="98"/>
    <s v="231101001"/>
    <x v="98"/>
    <n v="24800"/>
    <n v="4133.33"/>
    <m/>
  </r>
  <r>
    <n v="472"/>
    <x v="10"/>
    <x v="0"/>
    <s v="2294"/>
    <s v="02.11.2023"/>
    <s v="02.11.2023"/>
    <x v="72"/>
    <s v="780601001"/>
    <x v="72"/>
    <n v="662385"/>
    <n v="110397.5"/>
    <m/>
  </r>
  <r>
    <n v="473"/>
    <x v="10"/>
    <x v="0"/>
    <s v="щД21170002"/>
    <s v="02.11.2023"/>
    <s v="02.11.2023"/>
    <x v="120"/>
    <s v="773501001"/>
    <x v="120"/>
    <n v="376850"/>
    <n v="62808.33"/>
    <m/>
  </r>
  <r>
    <n v="474"/>
    <x v="10"/>
    <x v="0"/>
    <s v="2329"/>
    <s v="07.11.2023"/>
    <s v="07.11.2023"/>
    <x v="72"/>
    <s v="780601001"/>
    <x v="72"/>
    <n v="327800"/>
    <n v="54633.33"/>
    <m/>
  </r>
  <r>
    <n v="475"/>
    <x v="10"/>
    <x v="1"/>
    <s v="А26"/>
    <s v="04.11.2023"/>
    <s v=""/>
    <x v="3"/>
    <s v="504201001"/>
    <x v="3"/>
    <n v="815000"/>
    <n v="135833.33"/>
    <m/>
  </r>
  <r>
    <n v="476"/>
    <x v="10"/>
    <x v="0"/>
    <s v="2336"/>
    <s v="08.11.2023"/>
    <s v="08.11.2023"/>
    <x v="72"/>
    <s v="780601001"/>
    <x v="72"/>
    <n v="544692"/>
    <n v="90782"/>
    <m/>
  </r>
  <r>
    <n v="477"/>
    <x v="10"/>
    <x v="0"/>
    <s v="1030243/0395"/>
    <s v="09.11.2023"/>
    <s v="09.11.2023"/>
    <x v="40"/>
    <s v="997650001"/>
    <x v="40"/>
    <n v="4210"/>
    <n v="623.01"/>
    <m/>
  </r>
  <r>
    <n v="478"/>
    <x v="10"/>
    <x v="0"/>
    <s v="10761974-МСК"/>
    <s v="10.11.2023"/>
    <s v="10.11.2023"/>
    <x v="9"/>
    <s v="997750001"/>
    <x v="9"/>
    <n v="1358"/>
    <n v="226.33"/>
    <m/>
  </r>
  <r>
    <n v="479"/>
    <x v="10"/>
    <x v="0"/>
    <s v="10761973-МСК"/>
    <s v="10.11.2023"/>
    <s v="10.11.2023"/>
    <x v="9"/>
    <s v="997750001"/>
    <x v="9"/>
    <n v="7260"/>
    <n v="1210"/>
    <m/>
  </r>
  <r>
    <n v="480"/>
    <x v="10"/>
    <x v="0"/>
    <s v="10761972-МСК"/>
    <s v="10.11.2023"/>
    <s v="10.11.2023"/>
    <x v="9"/>
    <s v="997750001"/>
    <x v="9"/>
    <n v="4109"/>
    <n v="684.83"/>
    <m/>
  </r>
  <r>
    <n v="481"/>
    <x v="10"/>
    <x v="0"/>
    <s v="10761981-МСК"/>
    <s v="10.11.2023"/>
    <s v="10.11.2023"/>
    <x v="9"/>
    <s v="997750001"/>
    <x v="9"/>
    <n v="3475"/>
    <n v="579.17"/>
    <m/>
  </r>
  <r>
    <n v="482"/>
    <x v="10"/>
    <x v="0"/>
    <s v="10761971-МСК"/>
    <s v="10.11.2023"/>
    <s v="10.11.2023"/>
    <x v="9"/>
    <s v="997750001"/>
    <x v="9"/>
    <n v="1127"/>
    <n v="187.83"/>
    <m/>
  </r>
  <r>
    <n v="483"/>
    <x v="10"/>
    <x v="0"/>
    <s v="52"/>
    <s v="10.11.2023"/>
    <s v="10.11.2023"/>
    <x v="59"/>
    <s v="525601001"/>
    <x v="59"/>
    <n v="1880"/>
    <n v="313.33"/>
    <m/>
  </r>
  <r>
    <n v="484"/>
    <x v="10"/>
    <x v="0"/>
    <s v="1085307/0103"/>
    <s v="13.11.2023"/>
    <s v="13.11.2023"/>
    <x v="40"/>
    <s v="997650001"/>
    <x v="40"/>
    <n v="1629"/>
    <n v="271.5"/>
    <m/>
  </r>
  <r>
    <n v="485"/>
    <x v="10"/>
    <x v="0"/>
    <s v="315"/>
    <s v="13.11.2023"/>
    <s v="13.11.2023"/>
    <x v="112"/>
    <s v="370201001"/>
    <x v="112"/>
    <n v="490884"/>
    <n v="81814"/>
    <m/>
  </r>
  <r>
    <n v="486"/>
    <x v="10"/>
    <x v="0"/>
    <s v="316"/>
    <s v="13.11.2023"/>
    <s v="13.11.2023"/>
    <x v="112"/>
    <s v="370201001"/>
    <x v="112"/>
    <n v="451155"/>
    <n v="75192.5"/>
    <m/>
  </r>
  <r>
    <n v="487"/>
    <x v="10"/>
    <x v="1"/>
    <s v="А27"/>
    <s v="13.11.2023"/>
    <s v=""/>
    <x v="3"/>
    <s v="504201001"/>
    <x v="3"/>
    <n v="170900"/>
    <n v="28483.33"/>
    <m/>
  </r>
  <r>
    <n v="488"/>
    <x v="10"/>
    <x v="0"/>
    <s v="31903"/>
    <s v="15.11.2023"/>
    <s v="15.11.2023"/>
    <x v="17"/>
    <s v="500101001"/>
    <x v="17"/>
    <n v="42000"/>
    <n v="7000"/>
    <m/>
  </r>
  <r>
    <n v="489"/>
    <x v="10"/>
    <x v="1"/>
    <s v="А28"/>
    <s v="17.11.2023"/>
    <s v=""/>
    <x v="3"/>
    <s v="504201001"/>
    <x v="3"/>
    <n v="103385"/>
    <n v="17230.83"/>
    <m/>
  </r>
  <r>
    <n v="490"/>
    <x v="10"/>
    <x v="1"/>
    <s v="А21"/>
    <s v="13.10.2023"/>
    <s v=""/>
    <x v="3"/>
    <s v="504201001"/>
    <x v="3"/>
    <n v="960000"/>
    <n v="160000"/>
    <m/>
  </r>
  <r>
    <n v="491"/>
    <x v="10"/>
    <x v="1"/>
    <s v="А23"/>
    <s v="27.10.2023"/>
    <s v=""/>
    <x v="3"/>
    <s v="504201001"/>
    <x v="3"/>
    <n v="40000"/>
    <n v="6666.67"/>
    <m/>
  </r>
  <r>
    <n v="492"/>
    <x v="10"/>
    <x v="0"/>
    <s v="2421"/>
    <s v="21.11.2023"/>
    <s v="21.11.2023"/>
    <x v="72"/>
    <s v="780601001"/>
    <x v="72"/>
    <n v="598080"/>
    <n v="99680"/>
    <m/>
  </r>
  <r>
    <n v="493"/>
    <x v="10"/>
    <x v="0"/>
    <s v="11246682-МСК"/>
    <s v="21.11.2023"/>
    <s v="21.11.2023"/>
    <x v="9"/>
    <s v="997750001"/>
    <x v="9"/>
    <n v="3450"/>
    <n v="575"/>
    <m/>
  </r>
  <r>
    <n v="494"/>
    <x v="10"/>
    <x v="0"/>
    <s v="11246684-МСК"/>
    <s v="21.11.2023"/>
    <s v="21.11.2023"/>
    <x v="9"/>
    <s v="997750001"/>
    <x v="9"/>
    <n v="239"/>
    <n v="39.83"/>
    <m/>
  </r>
  <r>
    <n v="495"/>
    <x v="10"/>
    <x v="0"/>
    <s v="В11221"/>
    <s v="22.11.2023"/>
    <s v="22.11.2023"/>
    <x v="75"/>
    <s v="770101001"/>
    <x v="75"/>
    <n v="100500"/>
    <n v="16750"/>
    <m/>
  </r>
  <r>
    <n v="496"/>
    <x v="10"/>
    <x v="0"/>
    <s v="2478"/>
    <s v="29.11.2023"/>
    <s v="29.11.2023"/>
    <x v="72"/>
    <s v="780601001"/>
    <x v="72"/>
    <n v="478140"/>
    <n v="79690"/>
    <m/>
  </r>
  <r>
    <n v="497"/>
    <x v="10"/>
    <x v="0"/>
    <s v="2477"/>
    <s v="29.11.2023"/>
    <s v="29.11.2023"/>
    <x v="72"/>
    <s v="780601001"/>
    <x v="72"/>
    <n v="475320"/>
    <n v="79220"/>
    <m/>
  </r>
  <r>
    <n v="498"/>
    <x v="10"/>
    <x v="0"/>
    <s v="В12044"/>
    <s v="04.12.2023"/>
    <s v="04.12.2023"/>
    <x v="75"/>
    <s v="770101001"/>
    <x v="75"/>
    <n v="1005000"/>
    <n v="167500"/>
    <m/>
  </r>
  <r>
    <n v="499"/>
    <x v="10"/>
    <x v="0"/>
    <s v="33901"/>
    <s v="05.12.2023"/>
    <s v="05.12.2023"/>
    <x v="17"/>
    <s v="500101001"/>
    <x v="17"/>
    <n v="42000"/>
    <n v="7000"/>
    <m/>
  </r>
  <r>
    <n v="500"/>
    <x v="10"/>
    <x v="0"/>
    <s v="0612/2"/>
    <s v="06.12.2023"/>
    <s v="06.12.2023"/>
    <x v="98"/>
    <s v="231101001"/>
    <x v="98"/>
    <n v="37200"/>
    <n v="6200"/>
    <m/>
  </r>
  <r>
    <n v="501"/>
    <x v="10"/>
    <x v="0"/>
    <s v="0612/3"/>
    <s v="06.12.2023"/>
    <s v="06.12.2023"/>
    <x v="98"/>
    <s v="231101001"/>
    <x v="98"/>
    <n v="37200"/>
    <n v="6200"/>
    <m/>
  </r>
  <r>
    <n v="502"/>
    <x v="10"/>
    <x v="1"/>
    <s v="А29"/>
    <s v="24.11.2023"/>
    <s v=""/>
    <x v="3"/>
    <s v="504201001"/>
    <x v="3"/>
    <n v="166581"/>
    <n v="27763.5"/>
    <m/>
  </r>
  <r>
    <n v="503"/>
    <x v="10"/>
    <x v="0"/>
    <s v="2567"/>
    <s v="11.12.2023"/>
    <s v="11.12.2023"/>
    <x v="72"/>
    <s v="780601001"/>
    <x v="72"/>
    <n v="530147.5"/>
    <n v="88357.92"/>
    <m/>
  </r>
  <r>
    <n v="504"/>
    <x v="10"/>
    <x v="0"/>
    <s v="1034129/0395"/>
    <s v="13.12.2023"/>
    <s v="13.12.2023"/>
    <x v="40"/>
    <s v="997650001"/>
    <x v="40"/>
    <n v="4084"/>
    <n v="581.5"/>
    <m/>
  </r>
  <r>
    <n v="505"/>
    <x v="10"/>
    <x v="1"/>
    <s v="А30"/>
    <s v="25.11.2023"/>
    <s v=""/>
    <x v="3"/>
    <s v="504201001"/>
    <x v="3"/>
    <n v="110000"/>
    <n v="18333.33"/>
    <m/>
  </r>
  <r>
    <n v="506"/>
    <x v="10"/>
    <x v="1"/>
    <s v="А31"/>
    <s v="08.12.2023"/>
    <s v=""/>
    <x v="3"/>
    <s v="504201001"/>
    <x v="3"/>
    <n v="1100000"/>
    <n v="183333.33"/>
    <m/>
  </r>
  <r>
    <n v="507"/>
    <x v="10"/>
    <x v="1"/>
    <s v="А32"/>
    <s v="12.12.2023"/>
    <s v=""/>
    <x v="3"/>
    <s v="504201001"/>
    <x v="3"/>
    <n v="178561.5"/>
    <n v="29760.25"/>
    <m/>
  </r>
  <r>
    <n v="508"/>
    <x v="10"/>
    <x v="0"/>
    <s v="12508701-МСК"/>
    <s v="19.12.2023"/>
    <s v="19.12.2023"/>
    <x v="9"/>
    <s v="997750001"/>
    <x v="9"/>
    <n v="4674"/>
    <n v="779"/>
    <m/>
  </r>
  <r>
    <n v="509"/>
    <x v="10"/>
    <x v="0"/>
    <s v="12508696-МСК"/>
    <s v="19.12.2023"/>
    <s v="19.12.2023"/>
    <x v="9"/>
    <s v="997750001"/>
    <x v="9"/>
    <n v="4837"/>
    <n v="806.17"/>
    <m/>
  </r>
  <r>
    <n v="510"/>
    <x v="10"/>
    <x v="0"/>
    <s v="щД211270001"/>
    <s v="21.12.2023"/>
    <s v="21.12.2023"/>
    <x v="120"/>
    <s v="773501001"/>
    <x v="120"/>
    <n v="307950"/>
    <n v="51325"/>
    <m/>
  </r>
  <r>
    <n v="511"/>
    <x v="10"/>
    <x v="0"/>
    <s v="904"/>
    <s v="25.12.2023"/>
    <s v="25.12.2023"/>
    <x v="121"/>
    <s v="504201001"/>
    <x v="121"/>
    <n v="17430"/>
    <n v="2905"/>
    <m/>
  </r>
  <r>
    <n v="512"/>
    <x v="10"/>
    <x v="0"/>
    <s v="УТ-2438"/>
    <s v="28.12.2023"/>
    <s v="28.12.2023"/>
    <x v="122"/>
    <s v="132601001"/>
    <x v="122"/>
    <n v="181120"/>
    <n v="30186.67"/>
    <m/>
  </r>
  <r>
    <n v="513"/>
    <x v="10"/>
    <x v="0"/>
    <s v="00003409"/>
    <s v="28.12.2023"/>
    <s v="28.12.2023"/>
    <x v="123"/>
    <s v=""/>
    <x v="123"/>
    <n v="19760"/>
    <n v="3293.33"/>
    <m/>
  </r>
  <r>
    <n v="514"/>
    <x v="10"/>
    <x v="0"/>
    <s v="00003410"/>
    <s v="28.12.2023"/>
    <s v="28.12.2023"/>
    <x v="123"/>
    <s v=""/>
    <x v="123"/>
    <n v="1000"/>
    <n v="166.67"/>
    <m/>
  </r>
  <r>
    <n v="515"/>
    <x v="11"/>
    <x v="0"/>
    <s v="4041"/>
    <s v="31.12.2023"/>
    <s v="01.01.2024"/>
    <x v="124"/>
    <s v="504201001"/>
    <x v="124"/>
    <n v="67365.44"/>
    <n v="11227.58"/>
    <m/>
  </r>
  <r>
    <n v="516"/>
    <x v="11"/>
    <x v="0"/>
    <s v="00000003"/>
    <s v="10.01.2024"/>
    <s v="10.01.2024"/>
    <x v="123"/>
    <s v=""/>
    <x v="123"/>
    <n v="34750"/>
    <n v="5791.68"/>
    <m/>
  </r>
  <r>
    <n v="517"/>
    <x v="11"/>
    <x v="0"/>
    <s v="00000005"/>
    <s v="10.01.2024"/>
    <s v="10.01.2024"/>
    <x v="123"/>
    <s v=""/>
    <x v="123"/>
    <n v="410"/>
    <n v="68.33"/>
    <m/>
  </r>
  <r>
    <n v="518"/>
    <x v="11"/>
    <x v="0"/>
    <s v="00000004"/>
    <s v="10.01.2024"/>
    <s v="10.01.2024"/>
    <x v="123"/>
    <s v=""/>
    <x v="123"/>
    <n v="250"/>
    <n v="41.67"/>
    <m/>
  </r>
  <r>
    <n v="519"/>
    <x v="11"/>
    <x v="0"/>
    <s v="В1152"/>
    <s v="15.01.2024"/>
    <s v="15.01.2024"/>
    <x v="75"/>
    <s v="770101001"/>
    <x v="75"/>
    <n v="2010000"/>
    <n v="335000"/>
    <m/>
  </r>
  <r>
    <n v="520"/>
    <x v="11"/>
    <x v="0"/>
    <s v="11"/>
    <s v="15.01.2024"/>
    <s v="15.01.2024"/>
    <x v="103"/>
    <s v="695001001"/>
    <x v="103"/>
    <n v="535600"/>
    <n v="89266.67"/>
    <m/>
  </r>
  <r>
    <n v="521"/>
    <x v="11"/>
    <x v="0"/>
    <s v="1701/1"/>
    <s v="17.01.2024"/>
    <s v="17.01.2024"/>
    <x v="98"/>
    <s v="231101001"/>
    <x v="98"/>
    <n v="68700"/>
    <n v="11450"/>
    <m/>
  </r>
  <r>
    <n v="522"/>
    <x v="11"/>
    <x v="1"/>
    <s v="15"/>
    <s v="15.01.2024"/>
    <s v=""/>
    <x v="3"/>
    <s v="504201001"/>
    <x v="3"/>
    <n v="2200000"/>
    <n v="366666.67"/>
    <m/>
  </r>
  <r>
    <n v="523"/>
    <x v="11"/>
    <x v="0"/>
    <s v="1397930/34"/>
    <s v="25.01.2024"/>
    <s v="25.01.2024"/>
    <x v="111"/>
    <s v="997750001"/>
    <x v="111"/>
    <n v="4717"/>
    <n v="786.16"/>
    <m/>
  </r>
  <r>
    <n v="524"/>
    <x v="11"/>
    <x v="0"/>
    <s v="ПШ2601_0003"/>
    <s v="26.01.2024"/>
    <s v="26.01.2024"/>
    <x v="125"/>
    <s v="772001001"/>
    <x v="125"/>
    <n v="499971"/>
    <n v="83328.5"/>
    <m/>
  </r>
  <r>
    <n v="525"/>
    <x v="11"/>
    <x v="1"/>
    <s v="16"/>
    <s v="26.01.2024"/>
    <s v=""/>
    <x v="3"/>
    <s v="504201001"/>
    <x v="3"/>
    <n v="800000"/>
    <n v="133333.33"/>
    <m/>
  </r>
  <r>
    <n v="526"/>
    <x v="11"/>
    <x v="0"/>
    <s v="238"/>
    <s v="30.01.2024"/>
    <s v="30.01.2024"/>
    <x v="97"/>
    <s v="504201001"/>
    <x v="97"/>
    <n v="19962.45"/>
    <n v="3327.08"/>
    <m/>
  </r>
  <r>
    <n v="527"/>
    <x v="11"/>
    <x v="0"/>
    <s v="257"/>
    <s v="31.01.2024"/>
    <s v="31.01.2024"/>
    <x v="124"/>
    <s v="504201001"/>
    <x v="124"/>
    <n v="600"/>
    <n v="100"/>
    <m/>
  </r>
  <r>
    <n v="528"/>
    <x v="11"/>
    <x v="0"/>
    <s v="232"/>
    <s v="31.01.2024"/>
    <s v="31.01.2024"/>
    <x v="124"/>
    <s v="504201001"/>
    <x v="124"/>
    <n v="40640.66"/>
    <n v="6773.44"/>
    <m/>
  </r>
  <r>
    <n v="529"/>
    <x v="11"/>
    <x v="0"/>
    <s v="1002150/0395"/>
    <s v="01.02.2024"/>
    <s v="01.02.2024"/>
    <x v="40"/>
    <s v="781001001"/>
    <x v="40"/>
    <n v="4763"/>
    <n v="694.67"/>
    <m/>
  </r>
  <r>
    <n v="530"/>
    <x v="11"/>
    <x v="0"/>
    <s v="325"/>
    <s v="02.02.2024"/>
    <s v="02.02.2024"/>
    <x v="126"/>
    <s v="772301001"/>
    <x v="126"/>
    <n v="7000"/>
    <n v="1166.67"/>
    <m/>
  </r>
  <r>
    <n v="531"/>
    <x v="11"/>
    <x v="0"/>
    <s v="3301"/>
    <s v="02.02.2024"/>
    <s v="02.02.2024"/>
    <x v="17"/>
    <s v="500101001"/>
    <x v="17"/>
    <n v="42000"/>
    <n v="7000"/>
    <m/>
  </r>
  <r>
    <n v="532"/>
    <x v="11"/>
    <x v="0"/>
    <s v="51"/>
    <s v="06.02.2024"/>
    <s v="06.02.2024"/>
    <x v="112"/>
    <s v="370201001"/>
    <x v="112"/>
    <n v="545778"/>
    <n v="90963"/>
    <m/>
  </r>
  <r>
    <n v="533"/>
    <x v="11"/>
    <x v="0"/>
    <s v="37"/>
    <s v="06.02.2024"/>
    <s v="06.02.2024"/>
    <x v="103"/>
    <s v="695001001"/>
    <x v="103"/>
    <n v="715000"/>
    <n v="119166.67"/>
    <m/>
  </r>
  <r>
    <n v="534"/>
    <x v="11"/>
    <x v="1"/>
    <s v="17"/>
    <s v="02.02.2024"/>
    <s v=""/>
    <x v="3"/>
    <s v="504201001"/>
    <x v="3"/>
    <n v="1560000"/>
    <n v="260000"/>
    <m/>
  </r>
  <r>
    <n v="535"/>
    <x v="11"/>
    <x v="0"/>
    <s v="374"/>
    <s v="16.02.2024"/>
    <s v="16.02.2024"/>
    <x v="124"/>
    <s v="504201001"/>
    <x v="124"/>
    <n v="15222.38"/>
    <n v="2537.06"/>
    <m/>
  </r>
  <r>
    <n v="536"/>
    <x v="11"/>
    <x v="0"/>
    <s v="351"/>
    <s v="19.02.2024"/>
    <s v="19.02.2024"/>
    <x v="127"/>
    <s v="772701001"/>
    <x v="127"/>
    <n v="100000"/>
    <n v="16666.67"/>
    <m/>
  </r>
  <r>
    <n v="537"/>
    <x v="11"/>
    <x v="0"/>
    <s v="1761638-МСК"/>
    <s v="19.02.2024"/>
    <s v="19.02.2024"/>
    <x v="9"/>
    <s v="997750001"/>
    <x v="9"/>
    <n v="2936"/>
    <n v="489.34"/>
    <m/>
  </r>
  <r>
    <n v="538"/>
    <x v="11"/>
    <x v="0"/>
    <s v="1103"/>
    <s v="21.02.2024"/>
    <s v="21.02.2024"/>
    <x v="128"/>
    <s v="775101001"/>
    <x v="128"/>
    <n v="5075"/>
    <n v="845.83"/>
    <m/>
  </r>
  <r>
    <n v="539"/>
    <x v="11"/>
    <x v="0"/>
    <s v="87"/>
    <s v="23.02.2024"/>
    <s v="23.02.2024"/>
    <x v="112"/>
    <s v="370201001"/>
    <x v="112"/>
    <n v="272430"/>
    <n v="45405"/>
    <m/>
  </r>
  <r>
    <n v="540"/>
    <x v="11"/>
    <x v="0"/>
    <s v="91"/>
    <s v="26.02.2024"/>
    <s v="26.02.2024"/>
    <x v="112"/>
    <s v="370201001"/>
    <x v="112"/>
    <n v="411971"/>
    <n v="68661.83"/>
    <m/>
  </r>
  <r>
    <n v="541"/>
    <x v="11"/>
    <x v="0"/>
    <s v="1191"/>
    <s v="26.02.2024"/>
    <s v="26.02.2024"/>
    <x v="128"/>
    <s v="775101001"/>
    <x v="128"/>
    <n v="10150"/>
    <n v="1691.67"/>
    <m/>
  </r>
  <r>
    <n v="542"/>
    <x v="11"/>
    <x v="1"/>
    <s v="18"/>
    <s v="19.02.2024"/>
    <s v=""/>
    <x v="3"/>
    <s v="504201001"/>
    <x v="3"/>
    <n v="117000"/>
    <n v="19500"/>
    <m/>
  </r>
  <r>
    <n v="543"/>
    <x v="11"/>
    <x v="0"/>
    <s v="185"/>
    <s v="27.02.2024"/>
    <s v="27.02.2024"/>
    <x v="129"/>
    <s v="772901001"/>
    <x v="129"/>
    <n v="4200"/>
    <n v="700"/>
    <m/>
  </r>
  <r>
    <n v="544"/>
    <x v="11"/>
    <x v="0"/>
    <s v="499"/>
    <s v="29.02.2024"/>
    <s v="29.02.2024"/>
    <x v="124"/>
    <s v="504201001"/>
    <x v="124"/>
    <n v="40820.27"/>
    <n v="6803.38"/>
    <m/>
  </r>
  <r>
    <n v="545"/>
    <x v="11"/>
    <x v="0"/>
    <s v="АС0000000799"/>
    <s v="29.02.2024"/>
    <s v="29.02.2024"/>
    <x v="130"/>
    <s v="772801001"/>
    <x v="130"/>
    <n v="41500"/>
    <n v="6916.67"/>
    <m/>
  </r>
  <r>
    <n v="546"/>
    <x v="11"/>
    <x v="0"/>
    <s v="649"/>
    <s v="29.02.2024"/>
    <s v="29.02.2024"/>
    <x v="124"/>
    <s v="504201001"/>
    <x v="124"/>
    <n v="3000"/>
    <n v="500"/>
    <m/>
  </r>
  <r>
    <n v="547"/>
    <x v="11"/>
    <x v="0"/>
    <s v="114"/>
    <s v="01.03.2024"/>
    <s v="01.03.2024"/>
    <x v="18"/>
    <s v="761001001"/>
    <x v="18"/>
    <n v="8600"/>
    <n v="1433.33"/>
    <m/>
  </r>
  <r>
    <n v="548"/>
    <x v="11"/>
    <x v="0"/>
    <s v="184"/>
    <s v="01.03.2024"/>
    <s v="01.03.2024"/>
    <x v="131"/>
    <s v="540301001"/>
    <x v="131"/>
    <n v="3330"/>
    <n v="555"/>
    <m/>
  </r>
  <r>
    <n v="549"/>
    <x v="11"/>
    <x v="0"/>
    <s v="ПШ103_0003"/>
    <s v="01.03.2024"/>
    <s v="01.03.2024"/>
    <x v="125"/>
    <s v="772001001"/>
    <x v="125"/>
    <n v="813010"/>
    <n v="135501.67"/>
    <m/>
  </r>
  <r>
    <n v="550"/>
    <x v="11"/>
    <x v="1"/>
    <s v="19"/>
    <s v="19.02.2024"/>
    <s v=""/>
    <x v="3"/>
    <s v="504201001"/>
    <x v="3"/>
    <n v="2200000"/>
    <n v="324005"/>
    <m/>
  </r>
  <r>
    <n v="551"/>
    <x v="11"/>
    <x v="0"/>
    <s v="71326249-0013/0503"/>
    <s v="05.03.2024"/>
    <s v="05.03.2024"/>
    <x v="111"/>
    <s v="997750001"/>
    <x v="111"/>
    <n v="1267"/>
    <n v="128.83"/>
    <m/>
  </r>
  <r>
    <n v="552"/>
    <x v="11"/>
    <x v="0"/>
    <s v="2371233-МСК"/>
    <s v="05.03.2024"/>
    <s v="05.03.2024"/>
    <x v="9"/>
    <s v="997750001"/>
    <x v="9"/>
    <n v="11495"/>
    <n v="1915.84"/>
    <m/>
  </r>
  <r>
    <n v="553"/>
    <x v="11"/>
    <x v="0"/>
    <s v="16"/>
    <s v="06.03.2024"/>
    <s v="06.03.2024"/>
    <x v="132"/>
    <s v="524601001"/>
    <x v="132"/>
    <n v="51450"/>
    <n v="8575"/>
    <m/>
  </r>
  <r>
    <n v="554"/>
    <x v="11"/>
    <x v="0"/>
    <s v="1006869/0163"/>
    <s v="07.03.2024"/>
    <s v="07.03.2024"/>
    <x v="40"/>
    <s v="781001001"/>
    <x v="40"/>
    <n v="1293"/>
    <n v="183.67"/>
    <m/>
  </r>
  <r>
    <n v="555"/>
    <x v="11"/>
    <x v="0"/>
    <s v="120"/>
    <s v="07.03.2024"/>
    <s v="07.03.2024"/>
    <x v="112"/>
    <s v="370201001"/>
    <x v="112"/>
    <n v="434775"/>
    <n v="72462.5"/>
    <m/>
  </r>
  <r>
    <n v="556"/>
    <x v="11"/>
    <x v="0"/>
    <s v="3057"/>
    <s v="13.03.2024"/>
    <s v="13.03.2024"/>
    <x v="39"/>
    <s v="503801001"/>
    <x v="39"/>
    <n v="33600"/>
    <n v="5600"/>
    <m/>
  </r>
  <r>
    <n v="557"/>
    <x v="11"/>
    <x v="0"/>
    <s v="177"/>
    <s v="14.03.2024"/>
    <s v="14.03.2024"/>
    <x v="0"/>
    <s v="504301001"/>
    <x v="0"/>
    <n v="542000"/>
    <n v="90333.33"/>
    <m/>
  </r>
  <r>
    <n v="558"/>
    <x v="11"/>
    <x v="0"/>
    <s v="684"/>
    <s v="18.03.2024"/>
    <s v="18.03.2024"/>
    <x v="124"/>
    <s v="504201001"/>
    <x v="124"/>
    <n v="26510.04"/>
    <n v="4418.34"/>
    <m/>
  </r>
  <r>
    <n v="559"/>
    <x v="11"/>
    <x v="0"/>
    <s v="5003440/0389"/>
    <s v="18.03.2024"/>
    <s v="18.03.2024"/>
    <x v="40"/>
    <s v="781001001"/>
    <x v="40"/>
    <n v="300"/>
    <n v="50"/>
    <m/>
  </r>
  <r>
    <n v="560"/>
    <x v="11"/>
    <x v="0"/>
    <s v="1089430/0038"/>
    <s v="18.03.2024"/>
    <s v="18.03.2024"/>
    <x v="40"/>
    <s v="781001001"/>
    <x v="40"/>
    <n v="792"/>
    <n v="114"/>
    <m/>
  </r>
  <r>
    <n v="561"/>
    <x v="11"/>
    <x v="0"/>
    <s v="2895380-МСК"/>
    <s v="18.03.2024"/>
    <s v="18.03.2024"/>
    <x v="9"/>
    <s v="997750001"/>
    <x v="9"/>
    <n v="1775"/>
    <n v="295.83"/>
    <m/>
  </r>
  <r>
    <n v="562"/>
    <x v="11"/>
    <x v="0"/>
    <s v="ПШ1803_0003"/>
    <s v="18.03.2024"/>
    <s v="18.03.2024"/>
    <x v="125"/>
    <s v="772001001"/>
    <x v="125"/>
    <n v="772970"/>
    <n v="128828.33"/>
    <m/>
  </r>
  <r>
    <n v="563"/>
    <x v="11"/>
    <x v="0"/>
    <s v="АС0000001086"/>
    <s v="19.03.2024"/>
    <s v="19.03.2024"/>
    <x v="130"/>
    <s v="772801001"/>
    <x v="130"/>
    <n v="41500"/>
    <n v="6916.67"/>
    <m/>
  </r>
  <r>
    <n v="564"/>
    <x v="11"/>
    <x v="0"/>
    <s v="193"/>
    <s v="20.03.2024"/>
    <s v="20.03.2024"/>
    <x v="0"/>
    <s v="504301001"/>
    <x v="0"/>
    <n v="446040"/>
    <n v="74340"/>
    <m/>
  </r>
  <r>
    <n v="565"/>
    <x v="11"/>
    <x v="0"/>
    <s v="71326249-0014/2103"/>
    <s v="21.03.2024"/>
    <s v="21.03.2024"/>
    <x v="111"/>
    <s v="997750001"/>
    <x v="111"/>
    <n v="10362"/>
    <n v="1727"/>
    <m/>
  </r>
  <r>
    <n v="566"/>
    <x v="11"/>
    <x v="0"/>
    <s v="295"/>
    <s v="21.03.2024"/>
    <s v="21.03.2024"/>
    <x v="129"/>
    <s v="772901001"/>
    <x v="129"/>
    <n v="4200"/>
    <n v="700"/>
    <m/>
  </r>
  <r>
    <n v="567"/>
    <x v="11"/>
    <x v="0"/>
    <s v="20240322-007083"/>
    <s v="22.03.2024"/>
    <s v="22.03.2024"/>
    <x v="109"/>
    <s v="997750001"/>
    <x v="109"/>
    <n v="2419"/>
    <n v="403.17"/>
    <m/>
  </r>
  <r>
    <n v="568"/>
    <x v="11"/>
    <x v="0"/>
    <s v="71326249-0016/2503"/>
    <s v="25.03.2024"/>
    <s v="25.03.2024"/>
    <x v="111"/>
    <s v="997750001"/>
    <x v="111"/>
    <n v="4713"/>
    <n v="785.5"/>
    <m/>
  </r>
  <r>
    <n v="569"/>
    <x v="11"/>
    <x v="1"/>
    <s v="20"/>
    <s v="01.03.2024"/>
    <s v=""/>
    <x v="3"/>
    <s v="504201001"/>
    <x v="3"/>
    <n v="780000"/>
    <n v="130000"/>
    <m/>
  </r>
  <r>
    <n v="570"/>
    <x v="11"/>
    <x v="1"/>
    <s v="22"/>
    <s v="07.03.2024"/>
    <s v=""/>
    <x v="3"/>
    <s v="504201001"/>
    <x v="3"/>
    <n v="546000"/>
    <n v="77089.67"/>
    <m/>
  </r>
  <r>
    <n v="571"/>
    <x v="11"/>
    <x v="0"/>
    <s v="1037899/0389"/>
    <s v="29.03.2024"/>
    <s v="29.03.2024"/>
    <x v="40"/>
    <s v="781001001"/>
    <x v="40"/>
    <n v="1157"/>
    <n v="181"/>
    <m/>
  </r>
  <r>
    <n v="572"/>
    <x v="11"/>
    <x v="0"/>
    <s v="816"/>
    <s v="31.03.2024"/>
    <s v="31.03.2024"/>
    <x v="124"/>
    <s v="504201001"/>
    <x v="124"/>
    <n v="152116.48"/>
    <n v="25352.75"/>
    <m/>
  </r>
  <r>
    <n v="573"/>
    <x v="11"/>
    <x v="0"/>
    <s v="817"/>
    <s v="31.03.2024"/>
    <s v="31.03.2024"/>
    <x v="124"/>
    <s v="504201001"/>
    <x v="124"/>
    <n v="3000"/>
    <n v="500"/>
    <m/>
  </r>
  <r>
    <n v="574"/>
    <x v="11"/>
    <x v="0"/>
    <s v="23"/>
    <s v="31.03.2024"/>
    <s v="31.03.2024"/>
    <x v="133"/>
    <s v="505001001"/>
    <x v="133"/>
    <n v="433080"/>
    <n v="72180"/>
    <m/>
  </r>
  <r>
    <n v="575"/>
    <x v="12"/>
    <x v="2"/>
    <s v="А1737"/>
    <s v="02.04.2024"/>
    <s v=""/>
    <x v="134"/>
    <s v="645201001"/>
    <x v="134"/>
    <n v="410000"/>
    <n v="68333.33"/>
    <m/>
  </r>
  <r>
    <n v="576"/>
    <x v="12"/>
    <x v="0"/>
    <s v="3750313-МСК"/>
    <s v="05.04.2024"/>
    <s v="05.04.2024"/>
    <x v="9"/>
    <s v="997750001"/>
    <x v="9"/>
    <n v="766"/>
    <n v="127.67"/>
    <m/>
  </r>
  <r>
    <n v="577"/>
    <x v="12"/>
    <x v="0"/>
    <s v="3750311-МСК"/>
    <s v="05.04.2024"/>
    <s v="05.04.2024"/>
    <x v="9"/>
    <s v="997750001"/>
    <x v="9"/>
    <n v="5944"/>
    <n v="990.66"/>
    <m/>
  </r>
  <r>
    <n v="578"/>
    <x v="12"/>
    <x v="0"/>
    <s v="109"/>
    <s v="08.04.2024"/>
    <s v="08.04.2024"/>
    <x v="103"/>
    <s v="695001001"/>
    <x v="103"/>
    <n v="353100"/>
    <n v="58850"/>
    <m/>
  </r>
  <r>
    <n v="579"/>
    <x v="12"/>
    <x v="0"/>
    <s v="20384/349"/>
    <s v="09.04.2024"/>
    <s v="09.04.2024"/>
    <x v="111"/>
    <s v="997750001"/>
    <x v="111"/>
    <n v="4216"/>
    <n v="702.67"/>
    <m/>
  </r>
  <r>
    <n v="580"/>
    <x v="12"/>
    <x v="0"/>
    <s v="71326249-0018/0904"/>
    <s v="09.04.2024"/>
    <s v="09.04.2024"/>
    <x v="111"/>
    <s v="997750001"/>
    <x v="111"/>
    <n v="2952"/>
    <n v="190.83"/>
    <m/>
  </r>
  <r>
    <n v="581"/>
    <x v="12"/>
    <x v="0"/>
    <s v="1031"/>
    <s v="15.04.2024"/>
    <s v="15.04.2024"/>
    <x v="124"/>
    <s v="504201001"/>
    <x v="124"/>
    <n v="33040.64"/>
    <n v="5506.77"/>
    <m/>
  </r>
  <r>
    <n v="582"/>
    <x v="12"/>
    <x v="0"/>
    <s v="10603"/>
    <s v="16.04.2024"/>
    <s v="16.04.2024"/>
    <x v="17"/>
    <s v="500101001"/>
    <x v="17"/>
    <n v="26000"/>
    <n v="4333.33"/>
    <m/>
  </r>
  <r>
    <n v="583"/>
    <x v="12"/>
    <x v="1"/>
    <s v="А2"/>
    <s v="08.04.2024"/>
    <s v=""/>
    <x v="3"/>
    <s v="504201001"/>
    <x v="3"/>
    <n v="89344"/>
    <n v="14890.67"/>
    <m/>
  </r>
  <r>
    <n v="584"/>
    <x v="12"/>
    <x v="1"/>
    <s v="А3"/>
    <s v="08.04.2024"/>
    <s v=""/>
    <x v="3"/>
    <s v="504201001"/>
    <x v="3"/>
    <n v="320000"/>
    <n v="53333.33"/>
    <m/>
  </r>
  <r>
    <n v="585"/>
    <x v="12"/>
    <x v="0"/>
    <s v="550"/>
    <s v="17.04.2024"/>
    <s v="17.04.2024"/>
    <x v="118"/>
    <s v="504201001"/>
    <x v="118"/>
    <n v="1750"/>
    <n v="291.67"/>
    <m/>
  </r>
  <r>
    <n v="586"/>
    <x v="12"/>
    <x v="0"/>
    <s v="4894"/>
    <s v="17.04.2024"/>
    <s v="17.04.2024"/>
    <x v="39"/>
    <s v="503801001"/>
    <x v="39"/>
    <n v="72000"/>
    <n v="12000"/>
    <m/>
  </r>
  <r>
    <n v="587"/>
    <x v="12"/>
    <x v="0"/>
    <s v="117"/>
    <s v="18.04.2024"/>
    <s v="18.04.2024"/>
    <x v="93"/>
    <s v="761001001"/>
    <x v="93"/>
    <n v="699600"/>
    <n v="116600"/>
    <m/>
  </r>
  <r>
    <n v="588"/>
    <x v="12"/>
    <x v="0"/>
    <s v="цЧ180430002"/>
    <s v="18.04.2024"/>
    <s v="18.04.2024"/>
    <x v="135"/>
    <s v="770401001"/>
    <x v="135"/>
    <n v="907500"/>
    <n v="151250"/>
    <m/>
  </r>
  <r>
    <n v="589"/>
    <x v="12"/>
    <x v="0"/>
    <s v="149"/>
    <s v="19.04.2024"/>
    <s v="19.04.2024"/>
    <x v="136"/>
    <s v="504201001"/>
    <x v="136"/>
    <n v="18350"/>
    <n v="3058.33"/>
    <m/>
  </r>
  <r>
    <n v="590"/>
    <x v="12"/>
    <x v="0"/>
    <s v="1047345/0389"/>
    <s v="19.04.2024"/>
    <s v="19.04.2024"/>
    <x v="40"/>
    <s v="781001001"/>
    <x v="40"/>
    <n v="796"/>
    <n v="120.84"/>
    <m/>
  </r>
  <r>
    <n v="591"/>
    <x v="12"/>
    <x v="0"/>
    <s v="120"/>
    <s v="21.04.2024"/>
    <s v="21.04.2024"/>
    <x v="93"/>
    <s v="761001001"/>
    <x v="93"/>
    <n v="759000"/>
    <n v="126500"/>
    <m/>
  </r>
  <r>
    <n v="592"/>
    <x v="12"/>
    <x v="0"/>
    <s v="11301"/>
    <s v="23.04.2024"/>
    <s v="23.04.2024"/>
    <x v="17"/>
    <s v="500101001"/>
    <x v="17"/>
    <n v="42000"/>
    <n v="7000"/>
    <m/>
  </r>
  <r>
    <n v="593"/>
    <x v="12"/>
    <x v="0"/>
    <s v="20240423-012783"/>
    <s v="23.04.2024"/>
    <s v="23.04.2024"/>
    <x v="109"/>
    <s v="997750001"/>
    <x v="109"/>
    <n v="2419"/>
    <n v="403.17"/>
    <m/>
  </r>
  <r>
    <n v="594"/>
    <x v="12"/>
    <x v="0"/>
    <s v="800"/>
    <s v="23.04.2024"/>
    <s v="23.04.2024"/>
    <x v="43"/>
    <s v="760201001"/>
    <x v="43"/>
    <n v="90612"/>
    <n v="15102"/>
    <m/>
  </r>
  <r>
    <n v="595"/>
    <x v="12"/>
    <x v="0"/>
    <s v="71326249-0019/2404"/>
    <s v="24.04.2024"/>
    <s v="24.04.2024"/>
    <x v="111"/>
    <s v="997750001"/>
    <x v="111"/>
    <n v="5208"/>
    <n v="0"/>
    <m/>
  </r>
  <r>
    <n v="596"/>
    <x v="12"/>
    <x v="0"/>
    <s v="127"/>
    <s v="24.04.2024"/>
    <s v="24.04.2024"/>
    <x v="93"/>
    <s v="761001001"/>
    <x v="93"/>
    <n v="740300"/>
    <n v="123383.33"/>
    <m/>
  </r>
  <r>
    <n v="597"/>
    <x v="12"/>
    <x v="0"/>
    <s v="ПРП2604"/>
    <s v="26.04.2024"/>
    <s v="26.04.2024"/>
    <x v="137"/>
    <s v="770901001"/>
    <x v="137"/>
    <n v="410465"/>
    <n v="68410.83"/>
    <m/>
  </r>
  <r>
    <n v="598"/>
    <x v="12"/>
    <x v="0"/>
    <s v="130"/>
    <s v="26.04.2024"/>
    <s v="26.04.2024"/>
    <x v="93"/>
    <s v="761001001"/>
    <x v="93"/>
    <n v="694100"/>
    <n v="115683.33"/>
    <m/>
  </r>
  <r>
    <n v="599"/>
    <x v="12"/>
    <x v="0"/>
    <s v="1231"/>
    <s v="30.04.2024"/>
    <s v="30.04.2024"/>
    <x v="124"/>
    <s v="504201001"/>
    <x v="124"/>
    <n v="3000"/>
    <n v="500"/>
    <m/>
  </r>
  <r>
    <n v="600"/>
    <x v="12"/>
    <x v="0"/>
    <s v="1230"/>
    <s v="30.04.2024"/>
    <s v="30.04.2024"/>
    <x v="124"/>
    <s v="504201001"/>
    <x v="124"/>
    <n v="160878.58"/>
    <n v="26813.09"/>
    <m/>
  </r>
  <r>
    <n v="601"/>
    <x v="12"/>
    <x v="0"/>
    <s v="5006749-МСК"/>
    <s v="02.05.2024"/>
    <s v="02.05.2024"/>
    <x v="9"/>
    <s v="997750001"/>
    <x v="9"/>
    <n v="4020"/>
    <n v="670"/>
    <m/>
  </r>
  <r>
    <n v="602"/>
    <x v="12"/>
    <x v="1"/>
    <s v="А6"/>
    <s v="22.04.2024"/>
    <s v=""/>
    <x v="3"/>
    <s v="504201001"/>
    <x v="3"/>
    <n v="1139190"/>
    <n v="189865"/>
    <m/>
  </r>
  <r>
    <n v="603"/>
    <x v="12"/>
    <x v="0"/>
    <s v="8338041202405050001"/>
    <s v="05.05.2024"/>
    <s v="05.05.2024"/>
    <x v="138"/>
    <s v="997750001"/>
    <x v="138"/>
    <n v="4485"/>
    <n v="747.5"/>
    <m/>
  </r>
  <r>
    <n v="604"/>
    <x v="12"/>
    <x v="1"/>
    <s v="А7"/>
    <s v="26.04.2024"/>
    <s v=""/>
    <x v="3"/>
    <s v="504201001"/>
    <x v="3"/>
    <n v="4000"/>
    <n v="666.67"/>
    <m/>
  </r>
  <r>
    <n v="605"/>
    <x v="12"/>
    <x v="0"/>
    <s v="461"/>
    <s v="06.05.2024"/>
    <s v="06.05.2024"/>
    <x v="129"/>
    <s v="772901001"/>
    <x v="129"/>
    <n v="8400"/>
    <n v="1400"/>
    <m/>
  </r>
  <r>
    <n v="606"/>
    <x v="12"/>
    <x v="0"/>
    <s v="5141317-МСК"/>
    <s v="06.05.2024"/>
    <s v="06.05.2024"/>
    <x v="9"/>
    <s v="997750001"/>
    <x v="9"/>
    <n v="7929"/>
    <n v="1321.5"/>
    <m/>
  </r>
  <r>
    <n v="607"/>
    <x v="12"/>
    <x v="1"/>
    <s v="А1"/>
    <s v="02.04.2024"/>
    <s v=""/>
    <x v="3"/>
    <s v="504201001"/>
    <x v="3"/>
    <n v="780000"/>
    <n v="130000"/>
    <m/>
  </r>
  <r>
    <n v="608"/>
    <x v="12"/>
    <x v="1"/>
    <s v="А9"/>
    <s v="02.05.2024"/>
    <s v=""/>
    <x v="3"/>
    <s v="504201001"/>
    <x v="3"/>
    <n v="383907"/>
    <n v="63984.5"/>
    <m/>
  </r>
  <r>
    <n v="609"/>
    <x v="12"/>
    <x v="0"/>
    <s v="6015"/>
    <s v="10.05.2024"/>
    <s v="10.05.2024"/>
    <x v="39"/>
    <s v="503801001"/>
    <x v="39"/>
    <n v="36000"/>
    <n v="6000"/>
    <m/>
  </r>
  <r>
    <n v="610"/>
    <x v="12"/>
    <x v="0"/>
    <s v="100"/>
    <s v="10.05.2024"/>
    <s v="10.05.2024"/>
    <x v="139"/>
    <s v="616401001"/>
    <x v="139"/>
    <n v="44000"/>
    <n v="7333.33"/>
    <m/>
  </r>
  <r>
    <n v="611"/>
    <x v="12"/>
    <x v="0"/>
    <s v="цЧ100530003"/>
    <s v="10.05.2024"/>
    <s v="10.05.2024"/>
    <x v="135"/>
    <s v="770401001"/>
    <x v="135"/>
    <n v="767250"/>
    <n v="127875"/>
    <m/>
  </r>
  <r>
    <n v="612"/>
    <x v="12"/>
    <x v="0"/>
    <s v="1325"/>
    <s v="13.05.2024"/>
    <s v="13.05.2024"/>
    <x v="124"/>
    <s v="504201001"/>
    <x v="124"/>
    <n v="2400"/>
    <n v="400"/>
    <m/>
  </r>
  <r>
    <n v="613"/>
    <x v="12"/>
    <x v="0"/>
    <s v="248/1"/>
    <s v="13.05.2024"/>
    <s v="13.05.2024"/>
    <x v="140"/>
    <s v="744801001"/>
    <x v="140"/>
    <n v="1780"/>
    <n v="296.67"/>
    <m/>
  </r>
  <r>
    <n v="614"/>
    <x v="12"/>
    <x v="0"/>
    <s v="5472251-МСК"/>
    <s v="14.05.2024"/>
    <s v="14.05.2024"/>
    <x v="9"/>
    <s v="997750001"/>
    <x v="9"/>
    <n v="4787"/>
    <n v="797.83"/>
    <m/>
  </r>
  <r>
    <n v="615"/>
    <x v="12"/>
    <x v="0"/>
    <s v="1183247/0139"/>
    <s v="15.05.2024"/>
    <s v="15.05.2024"/>
    <x v="40"/>
    <s v="781001001"/>
    <x v="40"/>
    <n v="929"/>
    <n v="139.83"/>
    <m/>
  </r>
  <r>
    <n v="616"/>
    <x v="12"/>
    <x v="0"/>
    <s v="13701"/>
    <s v="17.05.2024"/>
    <s v="17.05.2024"/>
    <x v="17"/>
    <s v="500101001"/>
    <x v="17"/>
    <n v="42000"/>
    <n v="7000"/>
    <m/>
  </r>
  <r>
    <n v="617"/>
    <x v="12"/>
    <x v="1"/>
    <s v="А8"/>
    <s v="27.04.2024"/>
    <s v=""/>
    <x v="3"/>
    <s v="504201001"/>
    <x v="3"/>
    <n v="1170000"/>
    <n v="195000"/>
    <m/>
  </r>
  <r>
    <n v="618"/>
    <x v="12"/>
    <x v="0"/>
    <s v="1393"/>
    <s v="21.05.2024"/>
    <s v="21.05.2024"/>
    <x v="124"/>
    <s v="504201001"/>
    <x v="124"/>
    <n v="28800.64"/>
    <n v="4800.11"/>
    <m/>
  </r>
  <r>
    <n v="619"/>
    <x v="12"/>
    <x v="0"/>
    <s v="6418"/>
    <s v="21.05.2024"/>
    <s v="21.05.2024"/>
    <x v="39"/>
    <s v="503801001"/>
    <x v="39"/>
    <n v="36000"/>
    <n v="6000"/>
    <m/>
  </r>
  <r>
    <n v="620"/>
    <x v="12"/>
    <x v="0"/>
    <s v="241"/>
    <s v="22.05.2024"/>
    <s v="22.05.2024"/>
    <x v="141"/>
    <s v="370201001"/>
    <x v="141"/>
    <n v="585684"/>
    <n v="97614"/>
    <m/>
  </r>
  <r>
    <n v="621"/>
    <x v="12"/>
    <x v="1"/>
    <s v="А12"/>
    <s v="22.05.2024"/>
    <s v=""/>
    <x v="3"/>
    <s v="504201001"/>
    <x v="3"/>
    <n v="300000"/>
    <n v="50000"/>
    <m/>
  </r>
  <r>
    <n v="622"/>
    <x v="12"/>
    <x v="0"/>
    <s v="6802"/>
    <s v="28.05.2024"/>
    <s v="28.05.2024"/>
    <x v="39"/>
    <s v="503801001"/>
    <x v="39"/>
    <n v="36000"/>
    <n v="6000"/>
    <m/>
  </r>
  <r>
    <n v="623"/>
    <x v="12"/>
    <x v="0"/>
    <s v="1"/>
    <s v="28.05.2024"/>
    <s v="28.05.2024"/>
    <x v="105"/>
    <s v="761001001"/>
    <x v="105"/>
    <n v="220000"/>
    <n v="36666.67"/>
    <m/>
  </r>
  <r>
    <n v="624"/>
    <x v="12"/>
    <x v="0"/>
    <s v="ПРП2905"/>
    <s v="29.05.2024"/>
    <s v="29.05.2024"/>
    <x v="137"/>
    <s v="770901001"/>
    <x v="137"/>
    <n v="48816"/>
    <n v="8136"/>
    <m/>
  </r>
  <r>
    <n v="625"/>
    <x v="12"/>
    <x v="0"/>
    <s v="8"/>
    <s v="29.05.2024"/>
    <s v="29.05.2024"/>
    <x v="105"/>
    <s v="761001001"/>
    <x v="105"/>
    <n v="440000"/>
    <n v="73333.33"/>
    <m/>
  </r>
  <r>
    <n v="626"/>
    <x v="12"/>
    <x v="1"/>
    <s v="А13"/>
    <s v="30.05.2024"/>
    <s v=""/>
    <x v="3"/>
    <s v="504201001"/>
    <x v="3"/>
    <n v="960000"/>
    <n v="160000"/>
    <m/>
  </r>
  <r>
    <n v="627"/>
    <x v="12"/>
    <x v="0"/>
    <s v="1532"/>
    <s v="31.05.2024"/>
    <s v="31.05.2024"/>
    <x v="124"/>
    <s v="504201001"/>
    <x v="124"/>
    <n v="161997.18"/>
    <n v="26999.53"/>
    <m/>
  </r>
  <r>
    <n v="628"/>
    <x v="12"/>
    <x v="0"/>
    <s v="1533"/>
    <s v="31.05.2024"/>
    <s v="31.05.2024"/>
    <x v="124"/>
    <s v="504201001"/>
    <x v="124"/>
    <n v="3000"/>
    <n v="500"/>
    <m/>
  </r>
  <r>
    <n v="629"/>
    <x v="12"/>
    <x v="0"/>
    <s v="1534"/>
    <s v="31.05.2024"/>
    <s v="31.05.2024"/>
    <x v="124"/>
    <s v="504201001"/>
    <x v="124"/>
    <n v="30000"/>
    <n v="5000"/>
    <m/>
  </r>
  <r>
    <n v="630"/>
    <x v="12"/>
    <x v="0"/>
    <s v="05-582908"/>
    <s v="31.05.2024"/>
    <s v="31.05.2024"/>
    <x v="142"/>
    <s v="771001001"/>
    <x v="142"/>
    <n v="337"/>
    <n v="56.17"/>
    <m/>
  </r>
  <r>
    <n v="631"/>
    <x v="12"/>
    <x v="0"/>
    <s v="05-771758"/>
    <s v="31.05.2024"/>
    <s v="31.05.2024"/>
    <x v="142"/>
    <s v="771001001"/>
    <x v="142"/>
    <n v="165"/>
    <n v="27.5"/>
    <m/>
  </r>
  <r>
    <n v="632"/>
    <x v="12"/>
    <x v="0"/>
    <s v="6323983-МСК"/>
    <s v="31.05.2024"/>
    <s v="31.05.2024"/>
    <x v="9"/>
    <s v="997750001"/>
    <x v="9"/>
    <n v="4020"/>
    <n v="670"/>
    <m/>
  </r>
  <r>
    <n v="633"/>
    <x v="12"/>
    <x v="0"/>
    <s v="6323988-МСК"/>
    <s v="31.05.2024"/>
    <s v="31.05.2024"/>
    <x v="9"/>
    <s v="997750001"/>
    <x v="9"/>
    <n v="480"/>
    <n v="80"/>
    <m/>
  </r>
  <r>
    <n v="634"/>
    <x v="12"/>
    <x v="0"/>
    <s v="116601/465"/>
    <s v="31.05.2024"/>
    <s v="31.05.2024"/>
    <x v="111"/>
    <s v="997750001"/>
    <x v="111"/>
    <n v="10282"/>
    <n v="1713.67"/>
    <m/>
  </r>
  <r>
    <n v="635"/>
    <x v="12"/>
    <x v="0"/>
    <s v="56195/253"/>
    <s v="31.05.2024"/>
    <s v="31.05.2024"/>
    <x v="111"/>
    <s v="997750001"/>
    <x v="111"/>
    <n v="6710"/>
    <n v="1118.33"/>
    <m/>
  </r>
  <r>
    <n v="636"/>
    <x v="12"/>
    <x v="0"/>
    <s v="43"/>
    <s v="04.06.2024"/>
    <s v="04.06.2024"/>
    <x v="133"/>
    <s v="505001001"/>
    <x v="133"/>
    <n v="191052"/>
    <n v="31842"/>
    <m/>
  </r>
  <r>
    <n v="637"/>
    <x v="12"/>
    <x v="0"/>
    <s v="7310"/>
    <s v="04.06.2024"/>
    <s v="04.06.2024"/>
    <x v="39"/>
    <s v="503801001"/>
    <x v="39"/>
    <n v="36000"/>
    <n v="6000"/>
    <m/>
  </r>
  <r>
    <n v="638"/>
    <x v="12"/>
    <x v="0"/>
    <s v="29"/>
    <s v="04.06.2024"/>
    <s v="04.06.2024"/>
    <x v="59"/>
    <s v="525601001"/>
    <x v="59"/>
    <n v="3060"/>
    <n v="510"/>
    <m/>
  </r>
  <r>
    <n v="639"/>
    <x v="12"/>
    <x v="0"/>
    <s v="000000000313"/>
    <s v="05.06.2024"/>
    <s v="05.06.2024"/>
    <x v="90"/>
    <s v="184001001"/>
    <x v="90"/>
    <n v="17000"/>
    <n v="2833.33"/>
    <m/>
  </r>
  <r>
    <n v="640"/>
    <x v="12"/>
    <x v="0"/>
    <s v="цЧ50630002"/>
    <s v="05.06.2024"/>
    <s v="05.06.2024"/>
    <x v="135"/>
    <s v="770401001"/>
    <x v="135"/>
    <n v="883050"/>
    <n v="147175"/>
    <m/>
  </r>
  <r>
    <n v="641"/>
    <x v="12"/>
    <x v="1"/>
    <s v="А11"/>
    <s v="22.05.2024"/>
    <s v=""/>
    <x v="3"/>
    <s v="504201001"/>
    <x v="3"/>
    <n v="400000"/>
    <n v="57240"/>
    <m/>
  </r>
  <r>
    <n v="642"/>
    <x v="12"/>
    <x v="0"/>
    <s v="1086511/0103"/>
    <s v="07.06.2024"/>
    <s v="07.06.2024"/>
    <x v="40"/>
    <s v="781001001"/>
    <x v="40"/>
    <n v="1822"/>
    <n v="275.17"/>
    <m/>
  </r>
  <r>
    <n v="643"/>
    <x v="12"/>
    <x v="0"/>
    <s v="5007520/0389"/>
    <s v="07.06.2024"/>
    <s v="07.06.2024"/>
    <x v="40"/>
    <s v="781001001"/>
    <x v="40"/>
    <n v="300"/>
    <n v="50"/>
    <m/>
  </r>
  <r>
    <n v="644"/>
    <x v="12"/>
    <x v="0"/>
    <s v="85"/>
    <s v="07.06.2024"/>
    <s v="07.06.2024"/>
    <x v="96"/>
    <s v="504201001"/>
    <x v="96"/>
    <n v="35011.77"/>
    <n v="5835.3"/>
    <m/>
  </r>
  <r>
    <n v="645"/>
    <x v="12"/>
    <x v="1"/>
    <s v="22"/>
    <s v="07.03.2024"/>
    <s v=""/>
    <x v="3"/>
    <s v="504201001"/>
    <x v="3"/>
    <n v="546000"/>
    <n v="13910.33"/>
    <m/>
  </r>
  <r>
    <n v="646"/>
    <x v="12"/>
    <x v="1"/>
    <s v="А14"/>
    <s v="05.06.2024"/>
    <s v=""/>
    <x v="3"/>
    <s v="504201001"/>
    <x v="3"/>
    <n v="550000"/>
    <n v="91666.67"/>
    <m/>
  </r>
  <r>
    <n v="647"/>
    <x v="12"/>
    <x v="1"/>
    <s v="А16"/>
    <s v="07.06.2024"/>
    <s v=""/>
    <x v="3"/>
    <s v="504201001"/>
    <x v="3"/>
    <n v="250000"/>
    <n v="34823"/>
    <m/>
  </r>
  <r>
    <n v="648"/>
    <x v="12"/>
    <x v="0"/>
    <s v="ХКК-452"/>
    <s v="10.06.2024"/>
    <s v="10.06.2024"/>
    <x v="143"/>
    <s v="771801001"/>
    <x v="143"/>
    <n v="118806"/>
    <n v="19801"/>
    <m/>
  </r>
  <r>
    <n v="649"/>
    <x v="12"/>
    <x v="0"/>
    <s v="1397930/386"/>
    <s v="10.06.2024"/>
    <s v="10.06.2024"/>
    <x v="144"/>
    <s v="505001001"/>
    <x v="144"/>
    <n v="2958"/>
    <n v="493"/>
    <m/>
  </r>
  <r>
    <n v="650"/>
    <x v="12"/>
    <x v="0"/>
    <s v="606"/>
    <s v="11.06.2024"/>
    <s v="11.06.2024"/>
    <x v="145"/>
    <s v="402901001"/>
    <x v="145"/>
    <n v="369750"/>
    <n v="61625"/>
    <m/>
  </r>
  <r>
    <n v="651"/>
    <x v="12"/>
    <x v="0"/>
    <s v="4221"/>
    <s v="14.06.2024"/>
    <s v="14.06.2024"/>
    <x v="128"/>
    <s v="775101001"/>
    <x v="128"/>
    <n v="10150"/>
    <n v="1691.67"/>
    <m/>
  </r>
  <r>
    <n v="652"/>
    <x v="12"/>
    <x v="0"/>
    <s v="224"/>
    <s v="14.06.2024"/>
    <s v="14.06.2024"/>
    <x v="146"/>
    <s v="770701001"/>
    <x v="146"/>
    <n v="194520"/>
    <n v="32420"/>
    <m/>
  </r>
  <r>
    <n v="653"/>
    <x v="12"/>
    <x v="0"/>
    <s v="266"/>
    <s v="14.06.2024"/>
    <s v="14.06.2024"/>
    <x v="147"/>
    <s v="771401001"/>
    <x v="147"/>
    <n v="15750"/>
    <n v="2625"/>
    <m/>
  </r>
  <r>
    <n v="654"/>
    <x v="12"/>
    <x v="0"/>
    <s v="ЛИ240615/001"/>
    <s v="15.06.2024"/>
    <s v="15.06.2024"/>
    <x v="148"/>
    <s v="780501001"/>
    <x v="148"/>
    <n v="132240"/>
    <n v="22040"/>
    <m/>
  </r>
  <r>
    <n v="655"/>
    <x v="12"/>
    <x v="0"/>
    <s v="СА240615/001"/>
    <s v="15.06.2024"/>
    <s v="15.06.2024"/>
    <x v="148"/>
    <s v="780501001"/>
    <x v="148"/>
    <n v="607620"/>
    <n v="101270"/>
    <m/>
  </r>
  <r>
    <n v="656"/>
    <x v="12"/>
    <x v="0"/>
    <s v="28"/>
    <s v="17.06.2024"/>
    <s v="17.06.2024"/>
    <x v="137"/>
    <s v="770901001"/>
    <x v="137"/>
    <n v="116736"/>
    <n v="19456"/>
    <m/>
  </r>
  <r>
    <n v="657"/>
    <x v="12"/>
    <x v="0"/>
    <s v="270"/>
    <s v="17.06.2024"/>
    <s v="17.06.2024"/>
    <x v="147"/>
    <s v="771401001"/>
    <x v="147"/>
    <n v="63000"/>
    <n v="10500"/>
    <m/>
  </r>
  <r>
    <n v="658"/>
    <x v="12"/>
    <x v="0"/>
    <s v="225"/>
    <s v="17.06.2024"/>
    <s v="17.06.2024"/>
    <x v="149"/>
    <s v="504201001"/>
    <x v="149"/>
    <n v="6810"/>
    <n v="1135"/>
    <m/>
  </r>
  <r>
    <n v="659"/>
    <x v="12"/>
    <x v="1"/>
    <s v="А17"/>
    <s v="14.06.2024"/>
    <s v=""/>
    <x v="3"/>
    <s v="504201001"/>
    <x v="3"/>
    <n v="296412"/>
    <n v="49402"/>
    <m/>
  </r>
  <r>
    <n v="660"/>
    <x v="12"/>
    <x v="1"/>
    <s v="А18"/>
    <s v="17.06.2024"/>
    <s v=""/>
    <x v="3"/>
    <s v="504201001"/>
    <x v="3"/>
    <n v="500000"/>
    <n v="83333.33"/>
    <m/>
  </r>
  <r>
    <n v="661"/>
    <x v="12"/>
    <x v="0"/>
    <s v="56195/541"/>
    <s v="19.06.2024"/>
    <s v="19.06.2024"/>
    <x v="111"/>
    <s v="997750001"/>
    <x v="111"/>
    <n v="894"/>
    <n v="149"/>
    <m/>
  </r>
  <r>
    <n v="662"/>
    <x v="12"/>
    <x v="0"/>
    <s v="84939/776"/>
    <s v="19.06.2024"/>
    <s v="19.06.2024"/>
    <x v="111"/>
    <s v="997750001"/>
    <x v="111"/>
    <n v="467"/>
    <n v="77.83"/>
    <m/>
  </r>
  <r>
    <n v="663"/>
    <x v="12"/>
    <x v="0"/>
    <s v="1688"/>
    <s v="20.06.2024"/>
    <s v="20.06.2024"/>
    <x v="124"/>
    <s v="504201001"/>
    <x v="124"/>
    <n v="25500"/>
    <n v="4250"/>
    <m/>
  </r>
  <r>
    <n v="664"/>
    <x v="12"/>
    <x v="0"/>
    <s v="1689"/>
    <s v="20.06.2024"/>
    <s v="20.06.2024"/>
    <x v="124"/>
    <s v="504201001"/>
    <x v="124"/>
    <n v="47851.58"/>
    <n v="7975.26"/>
    <m/>
  </r>
  <r>
    <n v="665"/>
    <x v="12"/>
    <x v="0"/>
    <s v="13946481"/>
    <s v="20.06.2024"/>
    <s v="20.06.2024"/>
    <x v="111"/>
    <s v="997750001"/>
    <x v="111"/>
    <n v="1"/>
    <n v="0.17"/>
    <m/>
  </r>
  <r>
    <n v="666"/>
    <x v="12"/>
    <x v="0"/>
    <s v="432"/>
    <s v="20.06.2024"/>
    <s v="20.06.2024"/>
    <x v="150"/>
    <s v="503801001"/>
    <x v="150"/>
    <n v="15000"/>
    <n v="2500"/>
    <m/>
  </r>
  <r>
    <n v="667"/>
    <x v="12"/>
    <x v="0"/>
    <s v="1397930/409"/>
    <s v="21.06.2024"/>
    <s v="21.06.2024"/>
    <x v="111"/>
    <s v="997750001"/>
    <x v="111"/>
    <n v="5176.02"/>
    <n v="862.68"/>
    <m/>
  </r>
  <r>
    <n v="668"/>
    <x v="12"/>
    <x v="0"/>
    <s v="84939/835"/>
    <s v="21.06.2024"/>
    <s v="21.06.2024"/>
    <x v="111"/>
    <s v="997750001"/>
    <x v="111"/>
    <n v="2830"/>
    <n v="471.66"/>
    <m/>
  </r>
  <r>
    <n v="669"/>
    <x v="12"/>
    <x v="2"/>
    <s v="А6"/>
    <s v="21.06.2024"/>
    <s v=""/>
    <x v="151"/>
    <s v="231101001"/>
    <x v="151"/>
    <n v="24800"/>
    <n v="4133.33"/>
    <m/>
  </r>
  <r>
    <n v="670"/>
    <x v="12"/>
    <x v="1"/>
    <s v="А10"/>
    <s v="15.05.2024"/>
    <s v=""/>
    <x v="3"/>
    <s v="504201001"/>
    <x v="3"/>
    <n v="936000"/>
    <n v="156000"/>
    <m/>
  </r>
  <r>
    <n v="671"/>
    <x v="12"/>
    <x v="1"/>
    <s v="А15"/>
    <s v="06.06.2024"/>
    <s v=""/>
    <x v="3"/>
    <s v="504201001"/>
    <x v="3"/>
    <n v="800000"/>
    <n v="125936.66"/>
    <m/>
  </r>
  <r>
    <n v="672"/>
    <x v="12"/>
    <x v="0"/>
    <s v="14126494"/>
    <s v="24.06.2024"/>
    <s v="24.06.2024"/>
    <x v="111"/>
    <s v="997750001"/>
    <x v="111"/>
    <n v="2"/>
    <n v="0.34"/>
    <m/>
  </r>
  <r>
    <n v="673"/>
    <x v="12"/>
    <x v="1"/>
    <s v="19"/>
    <s v="19.02.2024"/>
    <s v=""/>
    <x v="3"/>
    <s v="504201001"/>
    <x v="3"/>
    <n v="2200000"/>
    <n v="42661.67"/>
    <m/>
  </r>
  <r>
    <n v="674"/>
    <x v="12"/>
    <x v="1"/>
    <s v="21"/>
    <s v="12.03.2024"/>
    <s v=""/>
    <x v="3"/>
    <s v="504201001"/>
    <x v="3"/>
    <n v="51000"/>
    <n v="8500"/>
    <m/>
  </r>
  <r>
    <n v="675"/>
    <x v="12"/>
    <x v="0"/>
    <s v="В6251"/>
    <s v="25.06.2024"/>
    <s v="25.06.2024"/>
    <x v="75"/>
    <s v="770101001"/>
    <x v="75"/>
    <n v="882000"/>
    <n v="147000"/>
    <m/>
  </r>
  <r>
    <n v="676"/>
    <x v="12"/>
    <x v="0"/>
    <s v="П260624-006"/>
    <s v="26.06.2024"/>
    <s v="26.06.2024"/>
    <x v="36"/>
    <s v="772901001"/>
    <x v="36"/>
    <n v="268710"/>
    <n v="44785"/>
    <m/>
  </r>
  <r>
    <n v="677"/>
    <x v="12"/>
    <x v="1"/>
    <s v="А19"/>
    <s v="19.06.2024"/>
    <s v=""/>
    <x v="3"/>
    <s v="504201001"/>
    <x v="3"/>
    <n v="800000"/>
    <n v="133333.33"/>
    <m/>
  </r>
  <r>
    <n v="678"/>
    <x v="12"/>
    <x v="0"/>
    <s v="410"/>
    <s v="28.06.2024"/>
    <s v="28.06.2024"/>
    <x v="0"/>
    <s v="504301001"/>
    <x v="0"/>
    <n v="621000"/>
    <n v="103500"/>
    <m/>
  </r>
  <r>
    <n v="679"/>
    <x v="12"/>
    <x v="0"/>
    <s v="1853"/>
    <s v="30.06.2024"/>
    <s v="30.06.2024"/>
    <x v="124"/>
    <s v="504201001"/>
    <x v="124"/>
    <n v="162675.44"/>
    <n v="27112.57"/>
    <m/>
  </r>
  <r>
    <n v="680"/>
    <x v="12"/>
    <x v="0"/>
    <s v="1854"/>
    <s v="30.06.2024"/>
    <s v="30.06.2024"/>
    <x v="124"/>
    <s v="504201001"/>
    <x v="124"/>
    <n v="3000"/>
    <n v="500"/>
    <m/>
  </r>
  <r>
    <n v="681"/>
    <x v="12"/>
    <x v="0"/>
    <s v="1855"/>
    <s v="30.06.2024"/>
    <s v="30.06.2024"/>
    <x v="124"/>
    <s v="504201001"/>
    <x v="124"/>
    <n v="30000"/>
    <n v="5000"/>
    <m/>
  </r>
  <r>
    <n v="682"/>
    <x v="12"/>
    <x v="0"/>
    <s v="06-1384531"/>
    <s v="30.06.2024"/>
    <s v="30.06.2024"/>
    <x v="142"/>
    <s v="771001001"/>
    <x v="142"/>
    <n v="139"/>
    <n v="23.17"/>
    <m/>
  </r>
  <r>
    <n v="683"/>
    <x v="12"/>
    <x v="0"/>
    <s v="цЧ300630001"/>
    <s v="30.06.2024"/>
    <s v="30.06.2024"/>
    <x v="135"/>
    <s v="770401001"/>
    <x v="135"/>
    <n v="437400"/>
    <n v="72900"/>
    <m/>
  </r>
  <r>
    <n v="684"/>
    <x v="13"/>
    <x v="0"/>
    <s v="197"/>
    <s v="25.06.2024"/>
    <s v="01.07.2024"/>
    <x v="93"/>
    <s v="761001001"/>
    <x v="93"/>
    <n v="61380"/>
    <n v="10230"/>
    <m/>
  </r>
  <r>
    <n v="685"/>
    <x v="13"/>
    <x v="0"/>
    <s v="48"/>
    <s v="27.06.2024"/>
    <s v="01.07.2024"/>
    <x v="133"/>
    <s v="505001001"/>
    <x v="133"/>
    <n v="130000"/>
    <n v="21666.67"/>
    <m/>
  </r>
  <r>
    <n v="686"/>
    <x v="13"/>
    <x v="0"/>
    <s v="248"/>
    <s v="02.07.2024"/>
    <s v="02.07.2024"/>
    <x v="149"/>
    <s v="504201001"/>
    <x v="149"/>
    <n v="6810"/>
    <n v="1135"/>
    <m/>
  </r>
  <r>
    <n v="687"/>
    <x v="13"/>
    <x v="1"/>
    <s v="А11"/>
    <s v="22.05.2024"/>
    <s v=""/>
    <x v="3"/>
    <s v="504201001"/>
    <x v="3"/>
    <n v="400000"/>
    <n v="9426.67"/>
    <m/>
  </r>
  <r>
    <n v="688"/>
    <x v="13"/>
    <x v="1"/>
    <s v="А22"/>
    <s v="01.07.2024"/>
    <s v=""/>
    <x v="3"/>
    <s v="504201001"/>
    <x v="3"/>
    <n v="353440"/>
    <n v="58906.67"/>
    <m/>
  </r>
  <r>
    <n v="689"/>
    <x v="13"/>
    <x v="2"/>
    <s v="А3562"/>
    <s v="04.07.2024"/>
    <s v=""/>
    <x v="134"/>
    <s v="645201001"/>
    <x v="134"/>
    <n v="73722"/>
    <n v="12287"/>
    <m/>
  </r>
  <r>
    <n v="690"/>
    <x v="13"/>
    <x v="0"/>
    <s v="18901"/>
    <s v="08.07.2024"/>
    <s v="08.07.2024"/>
    <x v="17"/>
    <s v="500101001"/>
    <x v="17"/>
    <n v="33600"/>
    <n v="5600"/>
    <m/>
  </r>
  <r>
    <n v="691"/>
    <x v="13"/>
    <x v="0"/>
    <s v="473"/>
    <s v="08.07.2024"/>
    <s v="08.07.2024"/>
    <x v="150"/>
    <s v="503801001"/>
    <x v="150"/>
    <n v="14820"/>
    <n v="2470"/>
    <m/>
  </r>
  <r>
    <n v="692"/>
    <x v="13"/>
    <x v="0"/>
    <s v="373"/>
    <s v="08.07.2024"/>
    <s v="08.07.2024"/>
    <x v="112"/>
    <s v="370201001"/>
    <x v="112"/>
    <n v="518230"/>
    <n v="86371.67"/>
    <m/>
  </r>
  <r>
    <n v="693"/>
    <x v="13"/>
    <x v="1"/>
    <s v="А15"/>
    <s v="06.06.2024"/>
    <s v=""/>
    <x v="3"/>
    <s v="504201001"/>
    <x v="3"/>
    <n v="800000"/>
    <n v="7396.67"/>
    <m/>
  </r>
  <r>
    <n v="694"/>
    <x v="13"/>
    <x v="1"/>
    <s v="А20"/>
    <s v="20.06.2024"/>
    <s v=""/>
    <x v="3"/>
    <s v="504201001"/>
    <x v="3"/>
    <n v="550000"/>
    <n v="91666.67"/>
    <m/>
  </r>
  <r>
    <n v="695"/>
    <x v="13"/>
    <x v="1"/>
    <s v="А21"/>
    <s v="21.06.2024"/>
    <s v=""/>
    <x v="3"/>
    <s v="504201001"/>
    <x v="3"/>
    <n v="250000"/>
    <n v="41666.67"/>
    <m/>
  </r>
  <r>
    <n v="696"/>
    <x v="13"/>
    <x v="0"/>
    <s v="20240709-004195"/>
    <s v="09.07.2024"/>
    <s v="09.07.2024"/>
    <x v="109"/>
    <s v="997750001"/>
    <x v="109"/>
    <n v="2629"/>
    <n v="438.17"/>
    <m/>
  </r>
  <r>
    <n v="697"/>
    <x v="13"/>
    <x v="0"/>
    <s v="В7092"/>
    <s v="09.07.2024"/>
    <s v="09.07.2024"/>
    <x v="75"/>
    <s v="770101001"/>
    <x v="75"/>
    <n v="966770"/>
    <n v="161128.33"/>
    <m/>
  </r>
  <r>
    <n v="698"/>
    <x v="13"/>
    <x v="0"/>
    <s v="В7172"/>
    <s v="17.07.2024"/>
    <s v="11.07.2024"/>
    <x v="75"/>
    <s v="770101001"/>
    <x v="75"/>
    <n v="981600"/>
    <n v="163600"/>
    <m/>
  </r>
  <r>
    <n v="699"/>
    <x v="13"/>
    <x v="0"/>
    <s v="В7261"/>
    <s v="26.07.2024"/>
    <s v="11.07.2024"/>
    <x v="75"/>
    <s v="770101001"/>
    <x v="75"/>
    <n v="960700"/>
    <n v="160116.67"/>
    <m/>
  </r>
  <r>
    <n v="700"/>
    <x v="13"/>
    <x v="1"/>
    <s v="А25"/>
    <s v="09.07.2024"/>
    <s v=""/>
    <x v="3"/>
    <s v="504201001"/>
    <x v="3"/>
    <n v="402866"/>
    <n v="67144.33"/>
    <m/>
  </r>
  <r>
    <n v="701"/>
    <x v="13"/>
    <x v="0"/>
    <s v="448"/>
    <s v="12.07.2024"/>
    <s v="12.07.2024"/>
    <x v="152"/>
    <s v="505001001"/>
    <x v="152"/>
    <n v="36000"/>
    <n v="6000"/>
    <m/>
  </r>
  <r>
    <n v="702"/>
    <x v="13"/>
    <x v="0"/>
    <s v="78909"/>
    <s v="12.07.2024"/>
    <s v="12.07.2024"/>
    <x v="153"/>
    <s v="772001001"/>
    <x v="153"/>
    <n v="50400"/>
    <n v="8400"/>
    <m/>
  </r>
  <r>
    <n v="703"/>
    <x v="13"/>
    <x v="0"/>
    <s v="118"/>
    <s v="12.07.2024"/>
    <s v="12.07.2024"/>
    <x v="30"/>
    <s v="120001001"/>
    <x v="30"/>
    <n v="272829"/>
    <n v="45471.5"/>
    <m/>
  </r>
  <r>
    <n v="704"/>
    <x v="13"/>
    <x v="0"/>
    <s v="1973"/>
    <s v="15.07.2024"/>
    <s v="15.07.2024"/>
    <x v="124"/>
    <s v="504201001"/>
    <x v="124"/>
    <n v="39893.94"/>
    <n v="6648.99"/>
    <m/>
  </r>
  <r>
    <n v="705"/>
    <x v="13"/>
    <x v="0"/>
    <s v="385"/>
    <s v="17.07.2024"/>
    <s v="17.07.2024"/>
    <x v="112"/>
    <s v="370201001"/>
    <x v="112"/>
    <n v="496860"/>
    <n v="82810"/>
    <m/>
  </r>
  <r>
    <n v="706"/>
    <x v="13"/>
    <x v="0"/>
    <s v="432"/>
    <s v="17.07.2024"/>
    <s v="17.07.2024"/>
    <x v="18"/>
    <s v="761001001"/>
    <x v="18"/>
    <n v="16600"/>
    <n v="2766.67"/>
    <m/>
  </r>
  <r>
    <n v="707"/>
    <x v="13"/>
    <x v="0"/>
    <s v="192"/>
    <s v="17.07.2024"/>
    <s v="17.07.2024"/>
    <x v="103"/>
    <s v="695001001"/>
    <x v="103"/>
    <n v="389200"/>
    <n v="64866.67"/>
    <m/>
  </r>
  <r>
    <n v="708"/>
    <x v="13"/>
    <x v="1"/>
    <s v="А23"/>
    <s v="01.07.2024"/>
    <s v=""/>
    <x v="3"/>
    <s v="504201001"/>
    <x v="3"/>
    <n v="1498970"/>
    <n v="249828.33"/>
    <m/>
  </r>
  <r>
    <n v="709"/>
    <x v="13"/>
    <x v="1"/>
    <s v="А26"/>
    <s v="09.07.2024"/>
    <s v=""/>
    <x v="3"/>
    <s v="504201001"/>
    <x v="3"/>
    <n v="820000"/>
    <n v="136666.67"/>
    <m/>
  </r>
  <r>
    <n v="710"/>
    <x v="13"/>
    <x v="0"/>
    <s v="1023958/0163"/>
    <s v="19.07.2024"/>
    <s v="19.07.2024"/>
    <x v="40"/>
    <s v="781001001"/>
    <x v="40"/>
    <n v="932"/>
    <n v="134.67"/>
    <m/>
  </r>
  <r>
    <n v="711"/>
    <x v="13"/>
    <x v="0"/>
    <s v="707"/>
    <s v="19.07.2024"/>
    <s v="19.07.2024"/>
    <x v="154"/>
    <s v="772401001"/>
    <x v="154"/>
    <n v="13040"/>
    <n v="2173.33"/>
    <m/>
  </r>
  <r>
    <n v="712"/>
    <x v="13"/>
    <x v="0"/>
    <s v="2067"/>
    <s v="22.07.2024"/>
    <s v="22.07.2024"/>
    <x v="124"/>
    <s v="504201001"/>
    <x v="124"/>
    <n v="41612.9"/>
    <n v="6935.48"/>
    <m/>
  </r>
  <r>
    <n v="713"/>
    <x v="13"/>
    <x v="0"/>
    <s v="8806002-МСК"/>
    <s v="23.07.2024"/>
    <s v="23.07.2024"/>
    <x v="9"/>
    <s v="997750001"/>
    <x v="9"/>
    <n v="4393"/>
    <n v="732.17"/>
    <m/>
  </r>
  <r>
    <n v="714"/>
    <x v="13"/>
    <x v="0"/>
    <s v="8805995-МСК"/>
    <s v="23.07.2024"/>
    <s v="23.07.2024"/>
    <x v="9"/>
    <s v="997750001"/>
    <x v="9"/>
    <n v="520"/>
    <n v="86.67"/>
    <m/>
  </r>
  <r>
    <n v="715"/>
    <x v="13"/>
    <x v="1"/>
    <s v="А24"/>
    <s v="09.07.2024"/>
    <s v=""/>
    <x v="3"/>
    <s v="504201001"/>
    <x v="3"/>
    <n v="405434"/>
    <n v="67572.33"/>
    <m/>
  </r>
  <r>
    <n v="716"/>
    <x v="13"/>
    <x v="1"/>
    <s v="А27"/>
    <s v="11.07.2024"/>
    <s v=""/>
    <x v="3"/>
    <s v="504201001"/>
    <x v="3"/>
    <n v="410000"/>
    <n v="68333.33"/>
    <m/>
  </r>
  <r>
    <n v="717"/>
    <x v="13"/>
    <x v="0"/>
    <s v="754"/>
    <s v="25.07.2024"/>
    <s v="25.07.2024"/>
    <x v="129"/>
    <s v="772901001"/>
    <x v="129"/>
    <n v="4200"/>
    <n v="700"/>
    <m/>
  </r>
  <r>
    <n v="718"/>
    <x v="13"/>
    <x v="0"/>
    <s v="В8061"/>
    <s v="06.08.2024"/>
    <s v="26.07.2024"/>
    <x v="75"/>
    <s v="770101001"/>
    <x v="75"/>
    <n v="995400"/>
    <n v="165900"/>
    <m/>
  </r>
  <r>
    <n v="719"/>
    <x v="13"/>
    <x v="1"/>
    <s v="А29"/>
    <s v="22.07.2024"/>
    <s v=""/>
    <x v="3"/>
    <s v="504201001"/>
    <x v="3"/>
    <n v="255970"/>
    <n v="42661.67"/>
    <m/>
  </r>
  <r>
    <n v="720"/>
    <x v="13"/>
    <x v="0"/>
    <s v="21001"/>
    <s v="29.07.2024"/>
    <s v="29.07.2024"/>
    <x v="17"/>
    <s v="500101001"/>
    <x v="17"/>
    <n v="33600"/>
    <n v="5600"/>
    <m/>
  </r>
  <r>
    <n v="721"/>
    <x v="13"/>
    <x v="1"/>
    <s v="А30"/>
    <s v="25.07.2024"/>
    <s v=""/>
    <x v="3"/>
    <s v="504201001"/>
    <x v="3"/>
    <n v="409754"/>
    <n v="68292.33"/>
    <m/>
  </r>
  <r>
    <n v="722"/>
    <x v="13"/>
    <x v="0"/>
    <s v="го290760001"/>
    <s v="29.07.2024"/>
    <s v="29.07.2024"/>
    <x v="155"/>
    <s v="770501001"/>
    <x v="155"/>
    <n v="1086350"/>
    <n v="181058.33"/>
    <m/>
  </r>
  <r>
    <n v="723"/>
    <x v="13"/>
    <x v="2"/>
    <s v="А4112"/>
    <s v="30.07.2024"/>
    <s v=""/>
    <x v="134"/>
    <s v="645201001"/>
    <x v="134"/>
    <n v="73722"/>
    <n v="12287"/>
    <m/>
  </r>
  <r>
    <n v="724"/>
    <x v="13"/>
    <x v="0"/>
    <s v="10132"/>
    <s v="30.07.2024"/>
    <s v="30.07.2024"/>
    <x v="39"/>
    <s v="503801001"/>
    <x v="39"/>
    <n v="36000"/>
    <n v="6000"/>
    <m/>
  </r>
  <r>
    <n v="725"/>
    <x v="13"/>
    <x v="0"/>
    <s v="2159"/>
    <s v="31.07.2024"/>
    <s v="31.07.2024"/>
    <x v="124"/>
    <s v="504201001"/>
    <x v="124"/>
    <n v="166854.97"/>
    <n v="27809.16"/>
    <m/>
  </r>
  <r>
    <n v="726"/>
    <x v="13"/>
    <x v="0"/>
    <s v="2160"/>
    <s v="31.07.2024"/>
    <s v="31.07.2024"/>
    <x v="124"/>
    <s v="504201001"/>
    <x v="124"/>
    <n v="3000"/>
    <n v="500"/>
    <m/>
  </r>
  <r>
    <n v="727"/>
    <x v="13"/>
    <x v="0"/>
    <s v="2161"/>
    <s v="31.07.2024"/>
    <s v="31.07.2024"/>
    <x v="124"/>
    <s v="504201001"/>
    <x v="124"/>
    <n v="30000"/>
    <n v="5000"/>
    <m/>
  </r>
  <r>
    <n v="728"/>
    <x v="13"/>
    <x v="0"/>
    <s v="07-640170"/>
    <s v="31.07.2024"/>
    <s v="31.07.2024"/>
    <x v="142"/>
    <s v="771001001"/>
    <x v="142"/>
    <n v="139"/>
    <n v="23.17"/>
    <m/>
  </r>
  <r>
    <n v="729"/>
    <x v="13"/>
    <x v="0"/>
    <s v="07-789480"/>
    <s v="31.07.2024"/>
    <s v="31.07.2024"/>
    <x v="142"/>
    <s v="771001001"/>
    <x v="142"/>
    <n v="110"/>
    <n v="18.33"/>
    <m/>
  </r>
  <r>
    <n v="730"/>
    <x v="13"/>
    <x v="0"/>
    <s v="АС0000003787"/>
    <s v="01.08.2024"/>
    <s v="01.08.2024"/>
    <x v="130"/>
    <s v="772801001"/>
    <x v="130"/>
    <n v="63468.35"/>
    <n v="10578.05"/>
    <m/>
  </r>
  <r>
    <n v="731"/>
    <x v="13"/>
    <x v="0"/>
    <s v="504"/>
    <s v="02.08.2024"/>
    <s v="02.08.2024"/>
    <x v="0"/>
    <s v="504301001"/>
    <x v="0"/>
    <n v="214120"/>
    <n v="35686.67"/>
    <m/>
  </r>
  <r>
    <n v="732"/>
    <x v="13"/>
    <x v="0"/>
    <s v="2239"/>
    <s v="02.08.2024"/>
    <s v="02.08.2024"/>
    <x v="156"/>
    <s v="775101001"/>
    <x v="156"/>
    <n v="22000"/>
    <n v="3666.67"/>
    <m/>
  </r>
  <r>
    <n v="733"/>
    <x v="13"/>
    <x v="0"/>
    <s v="56195/1232"/>
    <s v="05.08.2024"/>
    <s v="05.08.2024"/>
    <x v="111"/>
    <s v="997750001"/>
    <x v="111"/>
    <n v="3420"/>
    <n v="570"/>
    <m/>
  </r>
  <r>
    <n v="734"/>
    <x v="13"/>
    <x v="0"/>
    <s v="84939/1695"/>
    <s v="05.08.2024"/>
    <s v="05.08.2024"/>
    <x v="111"/>
    <s v="997750001"/>
    <x v="111"/>
    <n v="1467"/>
    <n v="244.5"/>
    <m/>
  </r>
  <r>
    <n v="735"/>
    <x v="13"/>
    <x v="0"/>
    <s v="18593014"/>
    <s v="05.08.2024"/>
    <s v="05.08.2024"/>
    <x v="111"/>
    <s v="997750001"/>
    <x v="111"/>
    <n v="2"/>
    <n v="0.34"/>
    <m/>
  </r>
  <r>
    <n v="736"/>
    <x v="13"/>
    <x v="0"/>
    <s v="84939/1694"/>
    <s v="05.08.2024"/>
    <s v="05.08.2024"/>
    <x v="111"/>
    <s v="997750001"/>
    <x v="111"/>
    <n v="988"/>
    <n v="164.66"/>
    <m/>
  </r>
  <r>
    <n v="737"/>
    <x v="13"/>
    <x v="0"/>
    <s v="56195/1233"/>
    <s v="05.08.2024"/>
    <s v="05.08.2024"/>
    <x v="111"/>
    <s v="997750001"/>
    <x v="111"/>
    <n v="2266"/>
    <n v="377.66"/>
    <m/>
  </r>
  <r>
    <n v="738"/>
    <x v="13"/>
    <x v="1"/>
    <s v="А28"/>
    <s v="18.07.2024"/>
    <s v=""/>
    <x v="3"/>
    <s v="504201001"/>
    <x v="3"/>
    <n v="820000"/>
    <n v="136666.67"/>
    <m/>
  </r>
  <r>
    <n v="739"/>
    <x v="13"/>
    <x v="0"/>
    <s v="В8271"/>
    <s v="27.08.2024"/>
    <s v="07.08.2024"/>
    <x v="75"/>
    <s v="770101001"/>
    <x v="75"/>
    <n v="1202400"/>
    <n v="200400"/>
    <m/>
  </r>
  <r>
    <n v="740"/>
    <x v="13"/>
    <x v="1"/>
    <s v="А32"/>
    <s v="01.08.2024"/>
    <s v=""/>
    <x v="3"/>
    <s v="504201001"/>
    <x v="3"/>
    <n v="566948"/>
    <n v="94491.33"/>
    <m/>
  </r>
  <r>
    <n v="741"/>
    <x v="13"/>
    <x v="0"/>
    <s v="36089"/>
    <s v="09.08.2024"/>
    <s v="09.08.2024"/>
    <x v="157"/>
    <s v="504701001"/>
    <x v="157"/>
    <n v="10890"/>
    <n v="1815"/>
    <m/>
  </r>
  <r>
    <n v="742"/>
    <x v="13"/>
    <x v="0"/>
    <s v="УТ-1980"/>
    <s v="09.08.2024"/>
    <s v="09.08.2024"/>
    <x v="119"/>
    <s v="771601001"/>
    <x v="119"/>
    <n v="2000"/>
    <n v="333.33"/>
    <m/>
  </r>
  <r>
    <n v="743"/>
    <x v="13"/>
    <x v="0"/>
    <s v="П100824-002"/>
    <s v="10.08.2024"/>
    <s v="10.08.2024"/>
    <x v="36"/>
    <s v="772901001"/>
    <x v="36"/>
    <n v="213720"/>
    <n v="35620"/>
    <m/>
  </r>
  <r>
    <n v="744"/>
    <x v="13"/>
    <x v="0"/>
    <s v="10943"/>
    <s v="12.08.2024"/>
    <s v="12.08.2024"/>
    <x v="39"/>
    <s v="503801001"/>
    <x v="39"/>
    <n v="36000"/>
    <n v="6000"/>
    <m/>
  </r>
  <r>
    <n v="745"/>
    <x v="13"/>
    <x v="0"/>
    <s v="9696666-МСК"/>
    <s v="12.08.2024"/>
    <s v="12.08.2024"/>
    <x v="9"/>
    <s v="997750001"/>
    <x v="9"/>
    <n v="6175"/>
    <n v="1029.17"/>
    <m/>
  </r>
  <r>
    <n v="746"/>
    <x v="13"/>
    <x v="0"/>
    <s v="9696670-МСК"/>
    <s v="12.08.2024"/>
    <s v="12.08.2024"/>
    <x v="9"/>
    <s v="997750001"/>
    <x v="9"/>
    <n v="1080"/>
    <n v="180"/>
    <m/>
  </r>
  <r>
    <n v="747"/>
    <x v="13"/>
    <x v="0"/>
    <s v="9696661-МСК"/>
    <s v="12.08.2024"/>
    <s v="12.08.2024"/>
    <x v="9"/>
    <s v="997750001"/>
    <x v="9"/>
    <n v="4300"/>
    <n v="716.67"/>
    <m/>
  </r>
  <r>
    <n v="748"/>
    <x v="13"/>
    <x v="0"/>
    <s v="585"/>
    <s v="13.08.2024"/>
    <s v="13.08.2024"/>
    <x v="150"/>
    <s v="503801001"/>
    <x v="150"/>
    <n v="4600"/>
    <n v="766.67"/>
    <m/>
  </r>
  <r>
    <n v="749"/>
    <x v="13"/>
    <x v="0"/>
    <s v="420"/>
    <s v="14.08.2024"/>
    <s v="14.08.2024"/>
    <x v="141"/>
    <s v="370201001"/>
    <x v="141"/>
    <n v="523996"/>
    <n v="87332.66"/>
    <m/>
  </r>
  <r>
    <n v="750"/>
    <x v="13"/>
    <x v="0"/>
    <s v="213"/>
    <s v="15.08.2024"/>
    <s v="15.08.2024"/>
    <x v="103"/>
    <s v="695001001"/>
    <x v="103"/>
    <n v="528100"/>
    <n v="88016.67"/>
    <m/>
  </r>
  <r>
    <n v="751"/>
    <x v="13"/>
    <x v="0"/>
    <s v="23101"/>
    <s v="19.08.2024"/>
    <s v="19.08.2024"/>
    <x v="17"/>
    <s v="500101001"/>
    <x v="17"/>
    <n v="36000"/>
    <n v="6000"/>
    <m/>
  </r>
  <r>
    <n v="752"/>
    <x v="13"/>
    <x v="1"/>
    <s v="А34"/>
    <s v="09.08.2024"/>
    <s v=""/>
    <x v="3"/>
    <s v="504201001"/>
    <x v="3"/>
    <n v="286224"/>
    <n v="47704"/>
    <m/>
  </r>
  <r>
    <n v="753"/>
    <x v="13"/>
    <x v="0"/>
    <s v="го210860001"/>
    <s v="21.08.2024"/>
    <s v="21.08.2024"/>
    <x v="155"/>
    <s v="770501001"/>
    <x v="155"/>
    <n v="759000"/>
    <n v="126500"/>
    <m/>
  </r>
  <r>
    <n v="754"/>
    <x v="13"/>
    <x v="0"/>
    <s v="2208/1"/>
    <s v="22.08.2024"/>
    <s v="22.08.2024"/>
    <x v="151"/>
    <s v="231101001"/>
    <x v="151"/>
    <n v="24800"/>
    <n v="4133.33"/>
    <m/>
  </r>
  <r>
    <n v="755"/>
    <x v="13"/>
    <x v="1"/>
    <s v="А35"/>
    <s v="14.08.2024"/>
    <s v=""/>
    <x v="3"/>
    <s v="504201001"/>
    <x v="3"/>
    <n v="520000"/>
    <n v="86666.67"/>
    <m/>
  </r>
  <r>
    <n v="756"/>
    <x v="13"/>
    <x v="0"/>
    <s v="612"/>
    <s v="23.08.2024"/>
    <s v="23.08.2024"/>
    <x v="150"/>
    <s v="503801001"/>
    <x v="150"/>
    <n v="5600"/>
    <n v="933.33"/>
    <m/>
  </r>
  <r>
    <n v="757"/>
    <x v="13"/>
    <x v="0"/>
    <s v="В9232"/>
    <s v="23.09.2024"/>
    <s v="26.08.2024"/>
    <x v="75"/>
    <s v="770101001"/>
    <x v="75"/>
    <n v="1000000"/>
    <n v="166666.67"/>
    <m/>
  </r>
  <r>
    <n v="758"/>
    <x v="13"/>
    <x v="0"/>
    <s v="519"/>
    <s v="26.08.2024"/>
    <s v="26.08.2024"/>
    <x v="18"/>
    <s v="761001001"/>
    <x v="18"/>
    <n v="23600"/>
    <n v="3933.33"/>
    <m/>
  </r>
  <r>
    <n v="759"/>
    <x v="13"/>
    <x v="0"/>
    <s v="10397617-МСК"/>
    <s v="28.08.2024"/>
    <s v="28.08.2024"/>
    <x v="9"/>
    <s v="997750001"/>
    <x v="9"/>
    <n v="380"/>
    <n v="63.33"/>
    <m/>
  </r>
  <r>
    <n v="760"/>
    <x v="13"/>
    <x v="0"/>
    <s v="10397615-МСК"/>
    <s v="28.08.2024"/>
    <s v="28.08.2024"/>
    <x v="9"/>
    <s v="997750001"/>
    <x v="9"/>
    <n v="3420"/>
    <n v="570"/>
    <m/>
  </r>
  <r>
    <n v="761"/>
    <x v="13"/>
    <x v="1"/>
    <s v="А33"/>
    <s v="05.08.2024"/>
    <s v=""/>
    <x v="3"/>
    <s v="504201001"/>
    <x v="3"/>
    <n v="820000"/>
    <n v="136666.67"/>
    <m/>
  </r>
  <r>
    <n v="762"/>
    <x v="13"/>
    <x v="1"/>
    <s v="А36"/>
    <s v="21.08.2024"/>
    <s v=""/>
    <x v="3"/>
    <s v="504201001"/>
    <x v="3"/>
    <n v="797040"/>
    <n v="132840"/>
    <m/>
  </r>
  <r>
    <n v="763"/>
    <x v="13"/>
    <x v="2"/>
    <s v="А4737"/>
    <s v="29.08.2024"/>
    <s v=""/>
    <x v="134"/>
    <s v="645201001"/>
    <x v="134"/>
    <n v="200"/>
    <n v="33.33"/>
    <m/>
  </r>
  <r>
    <n v="764"/>
    <x v="13"/>
    <x v="2"/>
    <s v="А4734"/>
    <s v="29.08.2024"/>
    <s v=""/>
    <x v="134"/>
    <s v="645201001"/>
    <x v="134"/>
    <n v="73722"/>
    <n v="12287"/>
    <m/>
  </r>
  <r>
    <n v="765"/>
    <x v="13"/>
    <x v="0"/>
    <s v="1055777/0395"/>
    <s v="29.08.2024"/>
    <s v="29.08.2024"/>
    <x v="40"/>
    <s v="781001001"/>
    <x v="40"/>
    <n v="2785"/>
    <n v="385.5"/>
    <m/>
  </r>
  <r>
    <n v="766"/>
    <x v="13"/>
    <x v="0"/>
    <s v="2442"/>
    <s v="29.08.2024"/>
    <s v="29.08.2024"/>
    <x v="124"/>
    <s v="504201001"/>
    <x v="124"/>
    <n v="37045"/>
    <n v="6174.17"/>
    <m/>
  </r>
  <r>
    <n v="767"/>
    <x v="13"/>
    <x v="0"/>
    <s v="222"/>
    <s v="29.08.2024"/>
    <s v="29.08.2024"/>
    <x v="103"/>
    <s v="695001001"/>
    <x v="103"/>
    <n v="544010"/>
    <n v="90668.33"/>
    <m/>
  </r>
  <r>
    <n v="768"/>
    <x v="13"/>
    <x v="0"/>
    <s v="В2091"/>
    <s v="02.09.2024"/>
    <s v="30.08.2024"/>
    <x v="75"/>
    <s v="770101001"/>
    <x v="75"/>
    <n v="1913400"/>
    <n v="318900"/>
    <m/>
  </r>
  <r>
    <n v="769"/>
    <x v="13"/>
    <x v="0"/>
    <s v="1028399/0163"/>
    <s v="30.08.2024"/>
    <s v="30.08.2024"/>
    <x v="40"/>
    <s v="781001001"/>
    <x v="40"/>
    <n v="1014"/>
    <n v="147.67"/>
    <m/>
  </r>
  <r>
    <n v="770"/>
    <x v="13"/>
    <x v="0"/>
    <s v="10487047-МСК"/>
    <s v="30.08.2024"/>
    <s v="30.08.2024"/>
    <x v="9"/>
    <s v="997750001"/>
    <x v="9"/>
    <n v="1250"/>
    <n v="208.33"/>
    <m/>
  </r>
  <r>
    <n v="771"/>
    <x v="13"/>
    <x v="0"/>
    <s v="Е-261400"/>
    <s v="07.08.2024"/>
    <s v="31.08.2024"/>
    <x v="158"/>
    <s v="772101001"/>
    <x v="158"/>
    <n v="204078"/>
    <n v="34013"/>
    <m/>
  </r>
  <r>
    <n v="772"/>
    <x v="13"/>
    <x v="0"/>
    <s v="2480"/>
    <s v="31.08.2024"/>
    <s v="31.08.2024"/>
    <x v="124"/>
    <s v="504201001"/>
    <x v="124"/>
    <n v="167126.69"/>
    <n v="27854.45"/>
    <m/>
  </r>
  <r>
    <n v="773"/>
    <x v="13"/>
    <x v="0"/>
    <s v="2483"/>
    <s v="31.08.2024"/>
    <s v="31.08.2024"/>
    <x v="124"/>
    <s v="504201001"/>
    <x v="124"/>
    <n v="3000"/>
    <n v="500"/>
    <m/>
  </r>
  <r>
    <n v="774"/>
    <x v="13"/>
    <x v="0"/>
    <s v="2484"/>
    <s v="31.08.2024"/>
    <s v="31.08.2024"/>
    <x v="124"/>
    <s v="504201001"/>
    <x v="124"/>
    <n v="30000"/>
    <n v="5000"/>
    <m/>
  </r>
  <r>
    <n v="775"/>
    <x v="13"/>
    <x v="0"/>
    <s v="П020924-004"/>
    <s v="02.09.2024"/>
    <s v="02.09.2024"/>
    <x v="36"/>
    <s v="772901001"/>
    <x v="36"/>
    <n v="236544"/>
    <n v="39424"/>
    <m/>
  </r>
  <r>
    <n v="776"/>
    <x v="13"/>
    <x v="0"/>
    <s v="636"/>
    <s v="04.09.2024"/>
    <s v="04.09.2024"/>
    <x v="150"/>
    <s v="503801001"/>
    <x v="150"/>
    <n v="15850"/>
    <n v="2641.66"/>
    <m/>
  </r>
  <r>
    <n v="777"/>
    <x v="13"/>
    <x v="0"/>
    <s v="228"/>
    <s v="04.09.2024"/>
    <s v="04.09.2024"/>
    <x v="103"/>
    <s v="695001001"/>
    <x v="103"/>
    <n v="464668"/>
    <n v="77444.67"/>
    <m/>
  </r>
  <r>
    <n v="778"/>
    <x v="13"/>
    <x v="0"/>
    <s v="8210"/>
    <s v="04.09.2024"/>
    <s v="04.09.2024"/>
    <x v="159"/>
    <s v="771901001"/>
    <x v="159"/>
    <n v="92400"/>
    <n v="15400"/>
    <m/>
  </r>
  <r>
    <n v="779"/>
    <x v="13"/>
    <x v="0"/>
    <s v="464"/>
    <s v="05.09.2024"/>
    <s v="05.09.2024"/>
    <x v="141"/>
    <s v="370201001"/>
    <x v="141"/>
    <n v="129504"/>
    <n v="21584"/>
    <m/>
  </r>
  <r>
    <n v="780"/>
    <x v="13"/>
    <x v="0"/>
    <s v="12343"/>
    <s v="05.09.2024"/>
    <s v="05.09.2024"/>
    <x v="39"/>
    <s v="503801001"/>
    <x v="39"/>
    <n v="36000"/>
    <n v="6000"/>
    <m/>
  </r>
  <r>
    <n v="781"/>
    <x v="13"/>
    <x v="1"/>
    <s v="А37"/>
    <s v="26.08.2024"/>
    <s v=""/>
    <x v="3"/>
    <s v="504201001"/>
    <x v="3"/>
    <n v="200000"/>
    <n v="33333.33"/>
    <m/>
  </r>
  <r>
    <n v="782"/>
    <x v="13"/>
    <x v="1"/>
    <s v="А38"/>
    <s v="05.09.2024"/>
    <s v=""/>
    <x v="3"/>
    <s v="504201001"/>
    <x v="3"/>
    <n v="300000"/>
    <n v="50000"/>
    <m/>
  </r>
  <r>
    <n v="783"/>
    <x v="13"/>
    <x v="0"/>
    <s v="56195/1736"/>
    <s v="09.09.2024"/>
    <s v="09.09.2024"/>
    <x v="111"/>
    <s v="997750001"/>
    <x v="111"/>
    <n v="1486"/>
    <n v="247.67"/>
    <m/>
  </r>
  <r>
    <n v="784"/>
    <x v="13"/>
    <x v="0"/>
    <s v="56195/1735"/>
    <s v="09.09.2024"/>
    <s v="09.09.2024"/>
    <x v="111"/>
    <s v="997750001"/>
    <x v="111"/>
    <n v="3600"/>
    <n v="600"/>
    <m/>
  </r>
  <r>
    <n v="785"/>
    <x v="13"/>
    <x v="0"/>
    <s v="205863/967"/>
    <s v="09.09.2024"/>
    <s v="09.09.2024"/>
    <x v="111"/>
    <s v="997750001"/>
    <x v="111"/>
    <n v="2678"/>
    <n v="446.33"/>
    <m/>
  </r>
  <r>
    <n v="786"/>
    <x v="13"/>
    <x v="0"/>
    <s v="232"/>
    <s v="09.09.2024"/>
    <s v="09.09.2024"/>
    <x v="103"/>
    <s v="695001001"/>
    <x v="103"/>
    <n v="388640"/>
    <n v="64773.33"/>
    <m/>
  </r>
  <r>
    <n v="787"/>
    <x v="13"/>
    <x v="0"/>
    <s v="1395729/0287"/>
    <s v="10.09.2024"/>
    <s v="10.09.2024"/>
    <x v="40"/>
    <s v="781001001"/>
    <x v="40"/>
    <n v="5925"/>
    <n v="896.34"/>
    <m/>
  </r>
  <r>
    <n v="788"/>
    <x v="13"/>
    <x v="0"/>
    <s v="5057113/0287"/>
    <s v="10.09.2024"/>
    <s v="10.09.2024"/>
    <x v="40"/>
    <s v="781001001"/>
    <x v="40"/>
    <n v="279"/>
    <n v="41.5"/>
    <m/>
  </r>
  <r>
    <n v="789"/>
    <x v="13"/>
    <x v="0"/>
    <s v="П130924-005"/>
    <s v="13.09.2024"/>
    <s v="13.09.2024"/>
    <x v="36"/>
    <s v="772901001"/>
    <x v="36"/>
    <n v="242424"/>
    <n v="40404"/>
    <m/>
  </r>
  <r>
    <n v="790"/>
    <x v="13"/>
    <x v="0"/>
    <s v="12749"/>
    <s v="13.09.2024"/>
    <s v="13.09.2024"/>
    <x v="39"/>
    <s v="503801001"/>
    <x v="39"/>
    <n v="36000"/>
    <n v="6000"/>
    <m/>
  </r>
  <r>
    <n v="791"/>
    <x v="13"/>
    <x v="0"/>
    <s v="841"/>
    <s v="13.09.2024"/>
    <s v="13.09.2024"/>
    <x v="160"/>
    <s v="773301001"/>
    <x v="160"/>
    <n v="14040"/>
    <n v="2340"/>
    <m/>
  </r>
  <r>
    <n v="792"/>
    <x v="13"/>
    <x v="0"/>
    <s v="663"/>
    <s v="13.09.2024"/>
    <s v="13.09.2024"/>
    <x v="150"/>
    <s v="503801001"/>
    <x v="150"/>
    <n v="4550"/>
    <n v="758.34"/>
    <m/>
  </r>
  <r>
    <n v="793"/>
    <x v="13"/>
    <x v="0"/>
    <s v="11213387-МСК"/>
    <s v="16.09.2024"/>
    <s v="16.09.2024"/>
    <x v="9"/>
    <s v="997750001"/>
    <x v="9"/>
    <n v="2310"/>
    <n v="385"/>
    <m/>
  </r>
  <r>
    <n v="794"/>
    <x v="13"/>
    <x v="0"/>
    <s v="11213393-МСК"/>
    <s v="16.09.2024"/>
    <s v="16.09.2024"/>
    <x v="9"/>
    <s v="997750001"/>
    <x v="9"/>
    <n v="1972"/>
    <n v="328.67"/>
    <m/>
  </r>
  <r>
    <n v="795"/>
    <x v="13"/>
    <x v="0"/>
    <s v="2642"/>
    <s v="17.09.2024"/>
    <s v="17.09.2024"/>
    <x v="124"/>
    <s v="504201001"/>
    <x v="124"/>
    <n v="43023.55"/>
    <n v="7170.59"/>
    <m/>
  </r>
  <r>
    <n v="796"/>
    <x v="13"/>
    <x v="0"/>
    <s v="1235640/0009"/>
    <s v="17.09.2024"/>
    <s v="17.09.2024"/>
    <x v="40"/>
    <s v="781001001"/>
    <x v="40"/>
    <n v="2120"/>
    <n v="304.33"/>
    <m/>
  </r>
  <r>
    <n v="797"/>
    <x v="13"/>
    <x v="0"/>
    <s v="56195/1861"/>
    <s v="17.09.2024"/>
    <s v="17.09.2024"/>
    <x v="111"/>
    <s v="997750001"/>
    <x v="111"/>
    <n v="2806"/>
    <n v="467.66"/>
    <m/>
  </r>
  <r>
    <n v="798"/>
    <x v="13"/>
    <x v="0"/>
    <s v="1883"/>
    <s v="18.09.2024"/>
    <s v="18.09.2024"/>
    <x v="161"/>
    <s v="772801001"/>
    <x v="161"/>
    <n v="30078"/>
    <n v="5013"/>
    <m/>
  </r>
  <r>
    <n v="799"/>
    <x v="13"/>
    <x v="0"/>
    <s v="497"/>
    <s v="19.09.2024"/>
    <s v="19.09.2024"/>
    <x v="141"/>
    <s v="370201001"/>
    <x v="141"/>
    <n v="136242"/>
    <n v="22707"/>
    <m/>
  </r>
  <r>
    <n v="800"/>
    <x v="13"/>
    <x v="0"/>
    <s v="55"/>
    <s v="20.09.2024"/>
    <s v="20.09.2024"/>
    <x v="59"/>
    <s v="525601001"/>
    <x v="59"/>
    <n v="3960"/>
    <n v="660"/>
    <m/>
  </r>
  <r>
    <n v="801"/>
    <x v="13"/>
    <x v="1"/>
    <s v="А40"/>
    <s v="18.09.2024"/>
    <s v=""/>
    <x v="3"/>
    <s v="504201001"/>
    <x v="3"/>
    <n v="300000"/>
    <n v="50000"/>
    <m/>
  </r>
  <r>
    <n v="802"/>
    <x v="13"/>
    <x v="1"/>
    <s v="А41"/>
    <s v="19.09.2024"/>
    <s v=""/>
    <x v="3"/>
    <s v="504201001"/>
    <x v="3"/>
    <n v="440000"/>
    <n v="73333.33"/>
    <m/>
  </r>
  <r>
    <n v="803"/>
    <x v="13"/>
    <x v="0"/>
    <s v="580"/>
    <s v="23.09.2024"/>
    <s v="23.09.2024"/>
    <x v="18"/>
    <s v="761001001"/>
    <x v="18"/>
    <n v="18600"/>
    <n v="3100"/>
    <m/>
  </r>
  <r>
    <n v="804"/>
    <x v="13"/>
    <x v="0"/>
    <s v="579"/>
    <s v="23.09.2024"/>
    <s v="23.09.2024"/>
    <x v="18"/>
    <s v="761001001"/>
    <x v="18"/>
    <n v="23600"/>
    <n v="3933.33"/>
    <m/>
  </r>
  <r>
    <n v="805"/>
    <x v="13"/>
    <x v="0"/>
    <s v="В9261"/>
    <s v="26.09.2024"/>
    <s v="24.09.2024"/>
    <x v="75"/>
    <s v="770101001"/>
    <x v="75"/>
    <n v="996800"/>
    <n v="166133.33"/>
    <m/>
  </r>
  <r>
    <n v="806"/>
    <x v="13"/>
    <x v="0"/>
    <s v="1126868/0389"/>
    <s v="24.09.2024"/>
    <s v="24.09.2024"/>
    <x v="40"/>
    <s v="781001001"/>
    <x v="40"/>
    <n v="3917"/>
    <n v="601.83"/>
    <m/>
  </r>
  <r>
    <n v="807"/>
    <x v="13"/>
    <x v="0"/>
    <s v="26802"/>
    <s v="25.09.2024"/>
    <s v="25.09.2024"/>
    <x v="17"/>
    <s v="500101001"/>
    <x v="17"/>
    <n v="36000"/>
    <n v="6000"/>
    <m/>
  </r>
  <r>
    <n v="808"/>
    <x v="13"/>
    <x v="0"/>
    <s v="303"/>
    <s v="25.09.2024"/>
    <s v="25.09.2024"/>
    <x v="93"/>
    <s v="761001001"/>
    <x v="93"/>
    <n v="469040"/>
    <n v="78173.33"/>
    <m/>
  </r>
  <r>
    <n v="809"/>
    <x v="13"/>
    <x v="0"/>
    <s v="1035277/0163"/>
    <s v="26.09.2024"/>
    <s v="26.09.2024"/>
    <x v="40"/>
    <s v="781001001"/>
    <x v="40"/>
    <n v="1097"/>
    <n v="147.67"/>
    <m/>
  </r>
  <r>
    <n v="810"/>
    <x v="13"/>
    <x v="0"/>
    <s v="П260924-004"/>
    <s v="26.09.2024"/>
    <s v="26.09.2024"/>
    <x v="36"/>
    <s v="772901001"/>
    <x v="36"/>
    <n v="224952"/>
    <n v="37492"/>
    <m/>
  </r>
  <r>
    <n v="811"/>
    <x v="13"/>
    <x v="0"/>
    <s v="8769"/>
    <s v="26.09.2024"/>
    <s v="26.09.2024"/>
    <x v="159"/>
    <s v="771901001"/>
    <x v="159"/>
    <n v="16300"/>
    <n v="2716.67"/>
    <m/>
  </r>
  <r>
    <n v="812"/>
    <x v="13"/>
    <x v="0"/>
    <s v="11727939-МСК"/>
    <s v="26.09.2024"/>
    <s v="26.09.2024"/>
    <x v="9"/>
    <s v="997750001"/>
    <x v="9"/>
    <n v="3800"/>
    <n v="633.33"/>
    <m/>
  </r>
  <r>
    <n v="813"/>
    <x v="13"/>
    <x v="0"/>
    <s v="В9271"/>
    <s v="27.09.2024"/>
    <s v="27.09.2024"/>
    <x v="75"/>
    <s v="770101001"/>
    <x v="75"/>
    <n v="1025000"/>
    <n v="170833.33"/>
    <m/>
  </r>
  <r>
    <n v="814"/>
    <x v="13"/>
    <x v="0"/>
    <s v="В9302"/>
    <s v="30.09.2024"/>
    <s v="27.09.2024"/>
    <x v="75"/>
    <s v="770101001"/>
    <x v="75"/>
    <n v="994600"/>
    <n v="165766.67"/>
    <m/>
  </r>
  <r>
    <n v="815"/>
    <x v="13"/>
    <x v="0"/>
    <s v="700"/>
    <s v="27.09.2024"/>
    <s v="27.09.2024"/>
    <x v="150"/>
    <s v="503801001"/>
    <x v="150"/>
    <n v="27400"/>
    <n v="4566.67"/>
    <m/>
  </r>
  <r>
    <n v="816"/>
    <x v="13"/>
    <x v="1"/>
    <s v="А39"/>
    <s v="09.09.2024"/>
    <s v=""/>
    <x v="3"/>
    <s v="504201001"/>
    <x v="3"/>
    <n v="14350"/>
    <n v="2391.67"/>
    <m/>
  </r>
  <r>
    <n v="817"/>
    <x v="13"/>
    <x v="1"/>
    <s v="А42"/>
    <s v="24.09.2024"/>
    <s v=""/>
    <x v="3"/>
    <s v="504201001"/>
    <x v="3"/>
    <n v="200000"/>
    <n v="33333.33"/>
    <m/>
  </r>
  <r>
    <n v="818"/>
    <x v="13"/>
    <x v="1"/>
    <s v="А43"/>
    <s v="25.09.2024"/>
    <s v=""/>
    <x v="3"/>
    <s v="504201001"/>
    <x v="3"/>
    <n v="100000"/>
    <n v="16666.67"/>
    <m/>
  </r>
  <r>
    <n v="819"/>
    <x v="13"/>
    <x v="1"/>
    <s v="А44"/>
    <s v="27.09.2024"/>
    <s v=""/>
    <x v="3"/>
    <s v="504201001"/>
    <x v="3"/>
    <n v="510000"/>
    <n v="85000"/>
    <m/>
  </r>
  <r>
    <n v="820"/>
    <x v="13"/>
    <x v="0"/>
    <s v="2777"/>
    <s v="30.09.2024"/>
    <s v="30.09.2024"/>
    <x v="124"/>
    <s v="504201001"/>
    <x v="124"/>
    <n v="166379.46"/>
    <n v="27729.91"/>
    <m/>
  </r>
  <r>
    <n v="821"/>
    <x v="13"/>
    <x v="0"/>
    <s v="2778"/>
    <s v="30.09.2024"/>
    <s v="30.09.2024"/>
    <x v="124"/>
    <s v="504201001"/>
    <x v="124"/>
    <n v="3000"/>
    <n v="500"/>
    <m/>
  </r>
  <r>
    <n v="822"/>
    <x v="13"/>
    <x v="0"/>
    <s v="2780"/>
    <s v="30.09.2024"/>
    <s v="30.09.2024"/>
    <x v="124"/>
    <s v="504201001"/>
    <x v="124"/>
    <n v="30000"/>
    <n v="5000"/>
    <m/>
  </r>
  <r>
    <n v="823"/>
    <x v="13"/>
    <x v="0"/>
    <s v="го300960001"/>
    <s v="30.09.2024"/>
    <s v="30.09.2024"/>
    <x v="155"/>
    <s v="773301001"/>
    <x v="155"/>
    <n v="781000"/>
    <n v="130166.67"/>
    <m/>
  </r>
  <r>
    <n v="824"/>
    <x v="13"/>
    <x v="0"/>
    <s v="09-638318"/>
    <s v="30.09.2024"/>
    <s v="30.09.2024"/>
    <x v="142"/>
    <s v="771001001"/>
    <x v="142"/>
    <n v="220"/>
    <n v="36.67"/>
    <m/>
  </r>
  <r>
    <n v="825"/>
    <x v="13"/>
    <x v="0"/>
    <s v="09-935242"/>
    <s v="30.09.2024"/>
    <s v="30.09.2024"/>
    <x v="142"/>
    <s v="771001001"/>
    <x v="142"/>
    <n v="288"/>
    <n v="48"/>
    <m/>
  </r>
  <r>
    <n v="826"/>
    <x v="13"/>
    <x v="0"/>
    <s v="09-935298"/>
    <s v="30.09.2024"/>
    <s v="30.09.2024"/>
    <x v="142"/>
    <s v="771001001"/>
    <x v="142"/>
    <n v="222"/>
    <n v="37"/>
    <m/>
  </r>
  <r>
    <n v="827"/>
    <x v="14"/>
    <x v="1"/>
    <s v="А31"/>
    <s v="26.07.2024"/>
    <s v=""/>
    <x v="3"/>
    <s v="504201001"/>
    <x v="3"/>
    <n v="410000"/>
    <n v="68333.33"/>
    <m/>
  </r>
  <r>
    <n v="828"/>
    <x v="14"/>
    <x v="0"/>
    <s v="27402"/>
    <s v="01.10.2024"/>
    <s v="01.10.2024"/>
    <x v="17"/>
    <s v="500101001"/>
    <x v="17"/>
    <n v="36000"/>
    <n v="6000"/>
    <m/>
  </r>
  <r>
    <n v="829"/>
    <x v="14"/>
    <x v="0"/>
    <s v="5805"/>
    <s v="30.09.2024"/>
    <s v="01.10.2024"/>
    <x v="134"/>
    <s v="645201001"/>
    <x v="134"/>
    <n v="0"/>
    <n v="15806.33"/>
    <m/>
  </r>
  <r>
    <n v="830"/>
    <x v="14"/>
    <x v="0"/>
    <s v="198"/>
    <s v="20.07.2024"/>
    <s v="01.10.2024"/>
    <x v="103"/>
    <s v="695001001"/>
    <x v="103"/>
    <n v="782712"/>
    <n v="130452"/>
    <m/>
  </r>
  <r>
    <n v="831"/>
    <x v="14"/>
    <x v="0"/>
    <s v="315"/>
    <s v="04.10.2024"/>
    <s v="04.10.2024"/>
    <x v="93"/>
    <s v="761001001"/>
    <x v="93"/>
    <n v="198165"/>
    <n v="33027.5"/>
    <m/>
  </r>
  <r>
    <n v="832"/>
    <x v="14"/>
    <x v="0"/>
    <s v="1443"/>
    <s v="04.10.2024"/>
    <s v="04.10.2024"/>
    <x v="162"/>
    <s v="773301001"/>
    <x v="162"/>
    <n v="16000"/>
    <n v="2666.67"/>
    <m/>
  </r>
  <r>
    <n v="833"/>
    <x v="14"/>
    <x v="1"/>
    <s v="А45"/>
    <s v="30.09.2024"/>
    <s v=""/>
    <x v="3"/>
    <s v="504201001"/>
    <x v="3"/>
    <n v="400000"/>
    <n v="66666.67"/>
    <m/>
  </r>
  <r>
    <n v="834"/>
    <x v="14"/>
    <x v="0"/>
    <s v="1268"/>
    <s v="08.10.2024"/>
    <s v="08.10.2024"/>
    <x v="163"/>
    <s v="500101001"/>
    <x v="163"/>
    <n v="24000"/>
    <n v="4000"/>
    <m/>
  </r>
  <r>
    <n v="835"/>
    <x v="14"/>
    <x v="0"/>
    <s v="1010/1"/>
    <s v="10.10.2024"/>
    <s v="10.10.2024"/>
    <x v="151"/>
    <s v="231101001"/>
    <x v="151"/>
    <n v="39000"/>
    <n v="6500"/>
    <m/>
  </r>
  <r>
    <n v="836"/>
    <x v="14"/>
    <x v="0"/>
    <s v="251"/>
    <s v="10.10.2024"/>
    <s v="10.10.2024"/>
    <x v="103"/>
    <s v="695001001"/>
    <x v="103"/>
    <n v="898800"/>
    <n v="149800"/>
    <m/>
  </r>
  <r>
    <n v="837"/>
    <x v="14"/>
    <x v="0"/>
    <s v="В10182"/>
    <s v="11.10.2024"/>
    <s v="11.10.2024"/>
    <x v="75"/>
    <s v="770101001"/>
    <x v="75"/>
    <n v="987000"/>
    <n v="164500"/>
    <m/>
  </r>
  <r>
    <n v="838"/>
    <x v="14"/>
    <x v="0"/>
    <s v="7500"/>
    <s v="14.10.2024"/>
    <s v="14.10.2024"/>
    <x v="128"/>
    <s v="775101001"/>
    <x v="128"/>
    <n v="5075"/>
    <n v="845.83"/>
    <m/>
  </r>
  <r>
    <n v="839"/>
    <x v="14"/>
    <x v="0"/>
    <s v="7506"/>
    <s v="14.10.2024"/>
    <s v="14.10.2024"/>
    <x v="128"/>
    <s v="775101001"/>
    <x v="128"/>
    <n v="5075"/>
    <n v="845.83"/>
    <m/>
  </r>
  <r>
    <n v="840"/>
    <x v="14"/>
    <x v="0"/>
    <s v="7253"/>
    <s v="14.10.2024"/>
    <s v="14.10.2024"/>
    <x v="164"/>
    <s v="744701001"/>
    <x v="164"/>
    <n v="65000"/>
    <n v="10833.33"/>
    <m/>
  </r>
  <r>
    <n v="841"/>
    <x v="14"/>
    <x v="0"/>
    <s v="40139641"/>
    <s v="15.10.2024"/>
    <s v="15.10.2024"/>
    <x v="95"/>
    <s v="772201001"/>
    <x v="95"/>
    <n v="2802.14"/>
    <n v="467.02"/>
    <m/>
  </r>
  <r>
    <n v="842"/>
    <x v="14"/>
    <x v="0"/>
    <s v="2937"/>
    <s v="16.10.2024"/>
    <s v="16.10.2024"/>
    <x v="124"/>
    <s v="504201001"/>
    <x v="124"/>
    <n v="37271.36"/>
    <n v="6211.89"/>
    <m/>
  </r>
  <r>
    <n v="843"/>
    <x v="14"/>
    <x v="1"/>
    <s v="А49"/>
    <s v="10.10.2024"/>
    <s v=""/>
    <x v="3"/>
    <s v="504201001"/>
    <x v="3"/>
    <n v="480000"/>
    <n v="75200"/>
    <m/>
  </r>
  <r>
    <n v="844"/>
    <x v="14"/>
    <x v="0"/>
    <s v="В10182"/>
    <s v="18.10.2024"/>
    <s v="18.10.2024"/>
    <x v="75"/>
    <s v="770101001"/>
    <x v="75"/>
    <n v="1000000"/>
    <n v="166666.67"/>
    <m/>
  </r>
  <r>
    <n v="845"/>
    <x v="14"/>
    <x v="0"/>
    <s v="56195/2763"/>
    <s v="18.10.2024"/>
    <s v="18.10.2024"/>
    <x v="111"/>
    <s v="997750001"/>
    <x v="111"/>
    <n v="6783"/>
    <n v="1130.5"/>
    <m/>
  </r>
  <r>
    <n v="846"/>
    <x v="14"/>
    <x v="0"/>
    <s v="56195/2762"/>
    <s v="18.10.2024"/>
    <s v="18.10.2024"/>
    <x v="111"/>
    <s v="997750001"/>
    <x v="111"/>
    <n v="6709"/>
    <n v="1118.16"/>
    <m/>
  </r>
  <r>
    <n v="847"/>
    <x v="14"/>
    <x v="0"/>
    <s v="507132/284"/>
    <s v="18.10.2024"/>
    <s v="18.10.2024"/>
    <x v="111"/>
    <s v="997750001"/>
    <x v="111"/>
    <n v="7614"/>
    <n v="1269.01"/>
    <m/>
  </r>
  <r>
    <n v="848"/>
    <x v="14"/>
    <x v="0"/>
    <s v="256"/>
    <s v="18.10.2024"/>
    <s v="18.10.2024"/>
    <x v="103"/>
    <s v="695001001"/>
    <x v="103"/>
    <n v="558782"/>
    <n v="93130.33"/>
    <m/>
  </r>
  <r>
    <n v="849"/>
    <x v="14"/>
    <x v="0"/>
    <s v="1518"/>
    <s v="18.10.2024"/>
    <s v="18.10.2024"/>
    <x v="162"/>
    <s v="773301001"/>
    <x v="162"/>
    <n v="16000"/>
    <n v="2666.67"/>
    <m/>
  </r>
  <r>
    <n v="850"/>
    <x v="14"/>
    <x v="0"/>
    <s v="12706862-МСК"/>
    <s v="18.10.2024"/>
    <s v="18.10.2024"/>
    <x v="9"/>
    <s v="997750001"/>
    <x v="9"/>
    <n v="3600"/>
    <n v="600"/>
    <m/>
  </r>
  <r>
    <n v="851"/>
    <x v="14"/>
    <x v="0"/>
    <s v="1062260/0395"/>
    <s v="21.10.2024"/>
    <s v="21.10.2024"/>
    <x v="40"/>
    <s v="781001001"/>
    <x v="40"/>
    <n v="4292"/>
    <n v="631.83"/>
    <m/>
  </r>
  <r>
    <n v="852"/>
    <x v="14"/>
    <x v="0"/>
    <s v="В10221"/>
    <s v="22.10.2024"/>
    <s v="22.10.2024"/>
    <x v="75"/>
    <s v="770101001"/>
    <x v="75"/>
    <n v="1002500"/>
    <n v="167083.33"/>
    <m/>
  </r>
  <r>
    <n v="853"/>
    <x v="14"/>
    <x v="0"/>
    <s v="64"/>
    <s v="22.10.2024"/>
    <s v="22.10.2024"/>
    <x v="165"/>
    <s v="503601001"/>
    <x v="165"/>
    <n v="165597"/>
    <n v="27599.5"/>
    <m/>
  </r>
  <r>
    <n v="854"/>
    <x v="14"/>
    <x v="0"/>
    <s v="261"/>
    <s v="24.10.2024"/>
    <s v="24.10.2024"/>
    <x v="103"/>
    <s v="695001001"/>
    <x v="103"/>
    <n v="733638"/>
    <n v="122273"/>
    <m/>
  </r>
  <r>
    <n v="855"/>
    <x v="14"/>
    <x v="0"/>
    <s v="15062"/>
    <s v="24.10.2024"/>
    <s v="24.10.2024"/>
    <x v="39"/>
    <s v="503801001"/>
    <x v="39"/>
    <n v="36000"/>
    <n v="6000"/>
    <m/>
  </r>
  <r>
    <n v="856"/>
    <x v="14"/>
    <x v="1"/>
    <s v="А51"/>
    <s v="18.10.2024"/>
    <s v=""/>
    <x v="3"/>
    <s v="504201001"/>
    <x v="3"/>
    <n v="476320"/>
    <n v="79386.67"/>
    <m/>
  </r>
  <r>
    <n v="857"/>
    <x v="14"/>
    <x v="0"/>
    <s v="25961465"/>
    <s v="25.10.2024"/>
    <s v="25.10.2024"/>
    <x v="111"/>
    <s v="997750001"/>
    <x v="111"/>
    <n v="2099"/>
    <n v="349.83"/>
    <m/>
  </r>
  <r>
    <n v="858"/>
    <x v="14"/>
    <x v="0"/>
    <s v="В10251"/>
    <s v="25.10.2024"/>
    <s v="25.10.2024"/>
    <x v="75"/>
    <s v="770101001"/>
    <x v="75"/>
    <n v="1000000"/>
    <n v="166666.67"/>
    <m/>
  </r>
  <r>
    <n v="859"/>
    <x v="14"/>
    <x v="0"/>
    <s v="В10281"/>
    <s v="28.10.2024"/>
    <s v="28.10.2024"/>
    <x v="75"/>
    <s v="770101001"/>
    <x v="75"/>
    <n v="1004300"/>
    <n v="167383.33"/>
    <m/>
  </r>
  <r>
    <n v="860"/>
    <x v="14"/>
    <x v="0"/>
    <s v="1071"/>
    <s v="28.10.2024"/>
    <s v="28.10.2024"/>
    <x v="129"/>
    <s v="772901001"/>
    <x v="129"/>
    <n v="4300"/>
    <n v="716.67"/>
    <m/>
  </r>
  <r>
    <n v="861"/>
    <x v="14"/>
    <x v="0"/>
    <s v="2810003"/>
    <s v="28.10.2024"/>
    <s v="28.10.2024"/>
    <x v="166"/>
    <s v="772601001"/>
    <x v="166"/>
    <n v="1940000"/>
    <n v="323333.33"/>
    <m/>
  </r>
  <r>
    <n v="862"/>
    <x v="14"/>
    <x v="1"/>
    <s v="А46"/>
    <s v="03.10.2024"/>
    <s v=""/>
    <x v="3"/>
    <s v="504201001"/>
    <x v="3"/>
    <n v="700000"/>
    <n v="116666.67"/>
    <m/>
  </r>
  <r>
    <n v="863"/>
    <x v="14"/>
    <x v="0"/>
    <s v="1559"/>
    <s v="30.10.2024"/>
    <s v="30.10.2024"/>
    <x v="162"/>
    <s v="773301001"/>
    <x v="162"/>
    <n v="29800"/>
    <n v="4966.67"/>
    <m/>
  </r>
  <r>
    <n v="864"/>
    <x v="14"/>
    <x v="0"/>
    <s v="6330"/>
    <s v="31.10.2024"/>
    <s v="31.10.2024"/>
    <x v="134"/>
    <s v="645201001"/>
    <x v="134"/>
    <n v="0"/>
    <n v="15806.33"/>
    <m/>
  </r>
  <r>
    <n v="865"/>
    <x v="14"/>
    <x v="0"/>
    <s v="Д-817815"/>
    <s v="11.10.2024"/>
    <s v="31.10.2024"/>
    <x v="167"/>
    <s v="772401001"/>
    <x v="167"/>
    <n v="252270"/>
    <n v="42045"/>
    <m/>
  </r>
  <r>
    <n v="866"/>
    <x v="14"/>
    <x v="0"/>
    <s v="С-556614"/>
    <s v="25.10.2024"/>
    <s v="31.10.2024"/>
    <x v="167"/>
    <s v="772401001"/>
    <x v="167"/>
    <n v="286020"/>
    <n v="47670"/>
    <m/>
  </r>
  <r>
    <n v="867"/>
    <x v="14"/>
    <x v="0"/>
    <s v="Б-999403"/>
    <s v="28.10.2024"/>
    <s v="31.10.2024"/>
    <x v="167"/>
    <s v="772401001"/>
    <x v="167"/>
    <n v="100035"/>
    <n v="16672.5"/>
    <m/>
  </r>
  <r>
    <n v="868"/>
    <x v="14"/>
    <x v="0"/>
    <s v="3099"/>
    <s v="31.10.2024"/>
    <s v="31.10.2024"/>
    <x v="124"/>
    <s v="504201001"/>
    <x v="124"/>
    <n v="30000"/>
    <n v="5000"/>
    <m/>
  </r>
  <r>
    <n v="869"/>
    <x v="14"/>
    <x v="0"/>
    <s v="3098"/>
    <s v="31.10.2024"/>
    <s v="31.10.2024"/>
    <x v="124"/>
    <s v="504201001"/>
    <x v="124"/>
    <n v="3000"/>
    <n v="500"/>
    <m/>
  </r>
  <r>
    <n v="870"/>
    <x v="14"/>
    <x v="0"/>
    <s v="3097"/>
    <s v="31.10.2024"/>
    <s v="31.10.2024"/>
    <x v="124"/>
    <s v="504201001"/>
    <x v="124"/>
    <n v="167805.99"/>
    <n v="27967.67"/>
    <m/>
  </r>
  <r>
    <n v="871"/>
    <x v="14"/>
    <x v="0"/>
    <s v="2217"/>
    <s v="31.07.2024"/>
    <s v="31.10.2024"/>
    <x v="124"/>
    <s v="504201001"/>
    <x v="124"/>
    <n v="69000"/>
    <n v="11500"/>
    <m/>
  </r>
  <r>
    <n v="872"/>
    <x v="14"/>
    <x v="0"/>
    <s v="1614"/>
    <s v="10.06.2024"/>
    <s v="31.10.2024"/>
    <x v="124"/>
    <s v="504201001"/>
    <x v="124"/>
    <n v="4500"/>
    <n v="750"/>
    <m/>
  </r>
  <r>
    <n v="873"/>
    <x v="14"/>
    <x v="0"/>
    <s v="2066"/>
    <s v="05.07.2024"/>
    <s v="31.10.2024"/>
    <x v="124"/>
    <s v="504201001"/>
    <x v="124"/>
    <n v="30500"/>
    <n v="5083.33"/>
    <m/>
  </r>
  <r>
    <n v="874"/>
    <x v="14"/>
    <x v="0"/>
    <s v="10-783597"/>
    <s v="31.10.2024"/>
    <s v="31.10.2024"/>
    <x v="142"/>
    <s v="771001001"/>
    <x v="142"/>
    <n v="268"/>
    <n v="44.67"/>
    <m/>
  </r>
  <r>
    <n v="875"/>
    <x v="14"/>
    <x v="0"/>
    <s v="10-783655"/>
    <s v="31.10.2024"/>
    <s v="31.10.2024"/>
    <x v="142"/>
    <s v="771001001"/>
    <x v="142"/>
    <n v="214"/>
    <n v="35.67"/>
    <m/>
  </r>
  <r>
    <n v="876"/>
    <x v="14"/>
    <x v="0"/>
    <s v="1397930/997"/>
    <s v="31.10.2024"/>
    <s v="31.10.2024"/>
    <x v="111"/>
    <s v="997750001"/>
    <x v="111"/>
    <n v="2758"/>
    <n v="459.66"/>
    <m/>
  </r>
  <r>
    <n v="877"/>
    <x v="14"/>
    <x v="0"/>
    <s v="507132/320"/>
    <s v="31.10.2024"/>
    <s v="31.10.2024"/>
    <x v="111"/>
    <s v="997750001"/>
    <x v="111"/>
    <n v="1550"/>
    <n v="258.33"/>
    <m/>
  </r>
  <r>
    <n v="878"/>
    <x v="14"/>
    <x v="1"/>
    <s v="А47"/>
    <s v="07.10.2024"/>
    <s v=""/>
    <x v="3"/>
    <s v="504201001"/>
    <x v="3"/>
    <n v="900000"/>
    <n v="150000"/>
    <m/>
  </r>
  <r>
    <n v="879"/>
    <x v="14"/>
    <x v="0"/>
    <s v="1397930/1012"/>
    <s v="05.11.2024"/>
    <s v="05.11.2024"/>
    <x v="111"/>
    <s v="997750001"/>
    <x v="111"/>
    <n v="3314"/>
    <n v="552.34"/>
    <m/>
  </r>
  <r>
    <n v="880"/>
    <x v="14"/>
    <x v="0"/>
    <s v="В11051"/>
    <s v="05.11.2024"/>
    <s v="05.11.2024"/>
    <x v="75"/>
    <s v="770101001"/>
    <x v="75"/>
    <n v="972619"/>
    <n v="162103.17"/>
    <m/>
  </r>
  <r>
    <n v="881"/>
    <x v="14"/>
    <x v="1"/>
    <s v="А16"/>
    <s v="07.06.2024"/>
    <s v=""/>
    <x v="3"/>
    <s v="504201001"/>
    <x v="3"/>
    <n v="250000"/>
    <n v="6843.67"/>
    <m/>
  </r>
  <r>
    <n v="882"/>
    <x v="14"/>
    <x v="0"/>
    <s v="594"/>
    <s v="06.11.2024"/>
    <s v="06.11.2024"/>
    <x v="168"/>
    <s v="505001001"/>
    <x v="168"/>
    <n v="11000"/>
    <n v="1833.33"/>
    <m/>
  </r>
  <r>
    <n v="883"/>
    <x v="14"/>
    <x v="0"/>
    <s v="603"/>
    <s v="07.11.2024"/>
    <s v="07.11.2024"/>
    <x v="141"/>
    <s v="370201001"/>
    <x v="141"/>
    <n v="140112"/>
    <n v="23352"/>
    <m/>
  </r>
  <r>
    <n v="884"/>
    <x v="14"/>
    <x v="0"/>
    <s v="2293"/>
    <s v="08.11.2024"/>
    <s v="08.11.2024"/>
    <x v="169"/>
    <s v="616601001"/>
    <x v="169"/>
    <n v="581612"/>
    <n v="96935.34"/>
    <m/>
  </r>
  <r>
    <n v="885"/>
    <x v="14"/>
    <x v="1"/>
    <s v="А48"/>
    <s v="10.10.2024"/>
    <s v=""/>
    <x v="3"/>
    <s v="504201001"/>
    <x v="3"/>
    <n v="30223"/>
    <n v="5037.17"/>
    <m/>
  </r>
  <r>
    <n v="886"/>
    <x v="14"/>
    <x v="0"/>
    <s v="В11111"/>
    <s v="11.11.2024"/>
    <s v="11.11.2024"/>
    <x v="75"/>
    <s v="770101001"/>
    <x v="75"/>
    <n v="969127"/>
    <n v="161521.17"/>
    <m/>
  </r>
  <r>
    <n v="887"/>
    <x v="14"/>
    <x v="0"/>
    <s v="507132/369"/>
    <s v="11.11.2024"/>
    <s v="11.11.2024"/>
    <x v="111"/>
    <s v="997750001"/>
    <x v="111"/>
    <n v="1785"/>
    <n v="297.5"/>
    <m/>
  </r>
  <r>
    <n v="888"/>
    <x v="14"/>
    <x v="0"/>
    <s v="57492/5959"/>
    <s v="11.11.2024"/>
    <s v="11.11.2024"/>
    <x v="111"/>
    <s v="997750001"/>
    <x v="111"/>
    <n v="2222"/>
    <n v="370.33"/>
    <m/>
  </r>
  <r>
    <n v="889"/>
    <x v="14"/>
    <x v="0"/>
    <s v="РТ-3"/>
    <s v="11.11.2024"/>
    <s v="11.11.2024"/>
    <x v="170"/>
    <s v="504701001"/>
    <x v="170"/>
    <n v="23000"/>
    <n v="3833.33"/>
    <m/>
  </r>
  <r>
    <n v="890"/>
    <x v="14"/>
    <x v="0"/>
    <s v="16350"/>
    <s v="13.11.2024"/>
    <s v="13.11.2024"/>
    <x v="39"/>
    <s v="503801001"/>
    <x v="39"/>
    <n v="36000"/>
    <n v="6000"/>
    <m/>
  </r>
  <r>
    <n v="891"/>
    <x v="14"/>
    <x v="0"/>
    <s v="2342"/>
    <s v="13.11.2024"/>
    <s v="13.11.2024"/>
    <x v="169"/>
    <s v="616601001"/>
    <x v="169"/>
    <n v="339360"/>
    <n v="56560"/>
    <m/>
  </r>
  <r>
    <n v="892"/>
    <x v="14"/>
    <x v="1"/>
    <s v="А50"/>
    <s v="10.10.2024"/>
    <s v=""/>
    <x v="3"/>
    <s v="504201001"/>
    <x v="3"/>
    <n v="669777"/>
    <n v="111629.5"/>
    <m/>
  </r>
  <r>
    <n v="893"/>
    <x v="14"/>
    <x v="3"/>
    <s v="67"/>
    <s v="30.09.2024"/>
    <s v="14.11.2024"/>
    <x v="3"/>
    <s v="504201001"/>
    <x v="3"/>
    <n v="103032"/>
    <n v="17172"/>
    <m/>
  </r>
  <r>
    <n v="894"/>
    <x v="14"/>
    <x v="0"/>
    <s v="П141124-004"/>
    <s v="14.11.2024"/>
    <s v="14.11.2024"/>
    <x v="36"/>
    <s v="772901001"/>
    <x v="36"/>
    <n v="270192"/>
    <n v="45032"/>
    <m/>
  </r>
  <r>
    <n v="895"/>
    <x v="14"/>
    <x v="0"/>
    <s v="608"/>
    <s v="14.11.2024"/>
    <s v="14.11.2024"/>
    <x v="171"/>
    <s v="504201001"/>
    <x v="171"/>
    <n v="82380"/>
    <n v="13730"/>
    <m/>
  </r>
  <r>
    <n v="896"/>
    <x v="14"/>
    <x v="0"/>
    <s v="3266"/>
    <s v="15.11.2024"/>
    <s v="15.11.2024"/>
    <x v="124"/>
    <s v="504201001"/>
    <x v="124"/>
    <n v="47802.39"/>
    <n v="7967.07"/>
    <m/>
  </r>
  <r>
    <n v="897"/>
    <x v="14"/>
    <x v="0"/>
    <s v="13862095-МСК"/>
    <s v="15.11.2024"/>
    <s v="15.11.2024"/>
    <x v="9"/>
    <s v="997750001"/>
    <x v="9"/>
    <n v="3600"/>
    <n v="600"/>
    <m/>
  </r>
  <r>
    <n v="898"/>
    <x v="14"/>
    <x v="0"/>
    <s v="13862092-МСК"/>
    <s v="15.11.2024"/>
    <s v="15.11.2024"/>
    <x v="9"/>
    <s v="997750001"/>
    <x v="9"/>
    <n v="5538"/>
    <n v="923"/>
    <m/>
  </r>
  <r>
    <n v="899"/>
    <x v="14"/>
    <x v="0"/>
    <s v="13862097-МСК"/>
    <s v="15.11.2024"/>
    <s v="15.11.2024"/>
    <x v="9"/>
    <s v="997750001"/>
    <x v="9"/>
    <n v="1580"/>
    <n v="263.33"/>
    <m/>
  </r>
  <r>
    <n v="900"/>
    <x v="14"/>
    <x v="0"/>
    <s v="В11182"/>
    <s v="18.11.2024"/>
    <s v="18.11.2024"/>
    <x v="75"/>
    <s v="770101001"/>
    <x v="75"/>
    <n v="976596"/>
    <n v="162766"/>
    <m/>
  </r>
  <r>
    <n v="901"/>
    <x v="14"/>
    <x v="1"/>
    <s v="А53"/>
    <s v="22.10.2024"/>
    <s v=""/>
    <x v="3"/>
    <s v="504201001"/>
    <x v="3"/>
    <n v="480000"/>
    <n v="80000"/>
    <m/>
  </r>
  <r>
    <n v="902"/>
    <x v="14"/>
    <x v="1"/>
    <s v="А54"/>
    <s v="01.11.2024"/>
    <s v=""/>
    <x v="3"/>
    <s v="504201001"/>
    <x v="3"/>
    <n v="395000"/>
    <n v="65833.33"/>
    <m/>
  </r>
  <r>
    <n v="903"/>
    <x v="14"/>
    <x v="0"/>
    <s v="627"/>
    <s v="19.11.2024"/>
    <s v="19.11.2024"/>
    <x v="141"/>
    <s v="370201001"/>
    <x v="141"/>
    <n v="344760"/>
    <n v="57460"/>
    <m/>
  </r>
  <r>
    <n v="904"/>
    <x v="14"/>
    <x v="0"/>
    <s v="ВС1911006"/>
    <s v="19.11.2024"/>
    <s v="19.11.2024"/>
    <x v="172"/>
    <s v="771901001"/>
    <x v="172"/>
    <n v="1109400"/>
    <n v="184900"/>
    <m/>
  </r>
  <r>
    <n v="905"/>
    <x v="14"/>
    <x v="0"/>
    <s v="2392"/>
    <s v="20.11.2024"/>
    <s v="20.11.2024"/>
    <x v="169"/>
    <s v="616601001"/>
    <x v="169"/>
    <n v="459088"/>
    <n v="76514.67"/>
    <m/>
  </r>
  <r>
    <n v="906"/>
    <x v="14"/>
    <x v="0"/>
    <s v="29554998"/>
    <s v="20.11.2024"/>
    <s v="20.11.2024"/>
    <x v="111"/>
    <s v="997750001"/>
    <x v="111"/>
    <n v="2049"/>
    <n v="341.5"/>
    <m/>
  </r>
  <r>
    <n v="907"/>
    <x v="14"/>
    <x v="1"/>
    <s v="А52"/>
    <s v="21.10.2024"/>
    <s v=""/>
    <x v="3"/>
    <s v="504201001"/>
    <x v="3"/>
    <n v="900000"/>
    <n v="150000"/>
    <m/>
  </r>
  <r>
    <n v="908"/>
    <x v="14"/>
    <x v="1"/>
    <s v="А58"/>
    <s v="22.11.2024"/>
    <s v=""/>
    <x v="3"/>
    <s v="504201001"/>
    <x v="3"/>
    <n v="393280"/>
    <n v="65546.67"/>
    <m/>
  </r>
  <r>
    <n v="909"/>
    <x v="14"/>
    <x v="0"/>
    <s v="737"/>
    <s v="26.11.2024"/>
    <s v="26.11.2024"/>
    <x v="18"/>
    <s v="761001001"/>
    <x v="18"/>
    <n v="18600"/>
    <n v="3100"/>
    <m/>
  </r>
  <r>
    <n v="910"/>
    <x v="14"/>
    <x v="0"/>
    <s v="21466300000001"/>
    <s v="27.11.2024"/>
    <s v="27.11.2024"/>
    <x v="5"/>
    <s v="780201001"/>
    <x v="5"/>
    <n v="1050"/>
    <n v="175"/>
    <m/>
  </r>
  <r>
    <n v="911"/>
    <x v="14"/>
    <x v="0"/>
    <s v="1039835/0163"/>
    <s v="29.11.2024"/>
    <s v="29.11.2024"/>
    <x v="40"/>
    <s v="781001001"/>
    <x v="40"/>
    <n v="1011"/>
    <n v="134.67"/>
    <m/>
  </r>
  <r>
    <n v="912"/>
    <x v="14"/>
    <x v="0"/>
    <s v="В11292"/>
    <s v="29.11.2024"/>
    <s v="29.11.2024"/>
    <x v="75"/>
    <s v="770101001"/>
    <x v="75"/>
    <n v="1357980"/>
    <n v="226330"/>
    <m/>
  </r>
  <r>
    <n v="913"/>
    <x v="14"/>
    <x v="0"/>
    <s v="8728"/>
    <s v="29.11.2024"/>
    <s v="29.11.2024"/>
    <x v="128"/>
    <s v="775101001"/>
    <x v="128"/>
    <n v="10650"/>
    <n v="1775"/>
    <m/>
  </r>
  <r>
    <n v="914"/>
    <x v="14"/>
    <x v="0"/>
    <s v="6989"/>
    <s v="30.11.2024"/>
    <s v="30.11.2024"/>
    <x v="134"/>
    <s v="645201001"/>
    <x v="134"/>
    <n v="94838"/>
    <n v="15806.33"/>
    <m/>
  </r>
  <r>
    <n v="915"/>
    <x v="14"/>
    <x v="0"/>
    <s v="3434"/>
    <s v="30.11.2024"/>
    <s v="30.11.2024"/>
    <x v="124"/>
    <s v="504201001"/>
    <x v="124"/>
    <n v="167534.27"/>
    <n v="27922.38"/>
    <m/>
  </r>
  <r>
    <n v="916"/>
    <x v="14"/>
    <x v="0"/>
    <s v="3435"/>
    <s v="30.11.2024"/>
    <s v="30.11.2024"/>
    <x v="124"/>
    <s v="504201001"/>
    <x v="124"/>
    <n v="3000"/>
    <n v="500"/>
    <m/>
  </r>
  <r>
    <n v="917"/>
    <x v="14"/>
    <x v="0"/>
    <s v="3436"/>
    <s v="30.11.2024"/>
    <s v="30.11.2024"/>
    <x v="124"/>
    <s v="504201001"/>
    <x v="124"/>
    <n v="30000"/>
    <n v="5000"/>
    <m/>
  </r>
  <r>
    <n v="918"/>
    <x v="14"/>
    <x v="0"/>
    <s v="11-756905"/>
    <s v="30.11.2024"/>
    <s v="30.11.2024"/>
    <x v="142"/>
    <s v="771001001"/>
    <x v="142"/>
    <n v="597"/>
    <n v="99.5"/>
    <m/>
  </r>
  <r>
    <n v="919"/>
    <x v="14"/>
    <x v="0"/>
    <s v="11-756950"/>
    <s v="30.11.2024"/>
    <s v="30.11.2024"/>
    <x v="142"/>
    <s v="771001001"/>
    <x v="142"/>
    <n v="31"/>
    <n v="5.17"/>
    <m/>
  </r>
  <r>
    <n v="920"/>
    <x v="14"/>
    <x v="0"/>
    <s v="П021224-007"/>
    <s v="02.12.2024"/>
    <s v="02.12.2024"/>
    <x v="36"/>
    <s v="772901001"/>
    <x v="36"/>
    <n v="257580"/>
    <n v="42930"/>
    <m/>
  </r>
  <r>
    <n v="921"/>
    <x v="14"/>
    <x v="0"/>
    <s v="14730729-МСК"/>
    <s v="04.12.2024"/>
    <s v="04.12.2024"/>
    <x v="9"/>
    <s v="997750001"/>
    <x v="9"/>
    <n v="3600"/>
    <n v="600"/>
    <m/>
  </r>
  <r>
    <n v="922"/>
    <x v="14"/>
    <x v="0"/>
    <s v="21466300000002"/>
    <s v="06.12.2024"/>
    <s v="06.12.2024"/>
    <x v="5"/>
    <s v="780201001"/>
    <x v="5"/>
    <n v="1140"/>
    <n v="190"/>
    <m/>
  </r>
  <r>
    <n v="923"/>
    <x v="14"/>
    <x v="0"/>
    <s v="20241209-003705"/>
    <s v="09.12.2024"/>
    <s v="09.12.2024"/>
    <x v="109"/>
    <s v="997750001"/>
    <x v="109"/>
    <n v="2447"/>
    <n v="407.83"/>
    <m/>
  </r>
  <r>
    <n v="924"/>
    <x v="14"/>
    <x v="1"/>
    <s v="А55"/>
    <s v="06.11.2024"/>
    <s v=""/>
    <x v="3"/>
    <s v="504201001"/>
    <x v="3"/>
    <n v="574000"/>
    <n v="95666.67"/>
    <m/>
  </r>
  <r>
    <n v="925"/>
    <x v="14"/>
    <x v="1"/>
    <s v="А57"/>
    <s v="20.11.2024"/>
    <s v=""/>
    <x v="3"/>
    <s v="504201001"/>
    <x v="3"/>
    <n v="350000"/>
    <n v="58333.33"/>
    <m/>
  </r>
  <r>
    <n v="926"/>
    <x v="14"/>
    <x v="1"/>
    <s v="А60"/>
    <s v="03.12.2024"/>
    <s v=""/>
    <x v="3"/>
    <s v="504201001"/>
    <x v="3"/>
    <n v="200000"/>
    <n v="33333.33"/>
    <m/>
  </r>
  <r>
    <n v="927"/>
    <x v="14"/>
    <x v="1"/>
    <s v="А59"/>
    <s v="03.12.2024"/>
    <s v=""/>
    <x v="3"/>
    <s v="504201001"/>
    <x v="3"/>
    <n v="100000"/>
    <n v="16666.67"/>
    <m/>
  </r>
  <r>
    <n v="928"/>
    <x v="14"/>
    <x v="0"/>
    <s v="247"/>
    <s v="12.12.2024"/>
    <s v="12.12.2024"/>
    <x v="173"/>
    <s v="504201001"/>
    <x v="173"/>
    <n v="18000"/>
    <n v="3000"/>
    <m/>
  </r>
  <r>
    <n v="929"/>
    <x v="14"/>
    <x v="0"/>
    <s v="П151224-004"/>
    <s v="15.12.2024"/>
    <s v="15.12.2024"/>
    <x v="36"/>
    <s v="772901001"/>
    <x v="36"/>
    <n v="210080"/>
    <n v="35013.33"/>
    <m/>
  </r>
  <r>
    <n v="930"/>
    <x v="14"/>
    <x v="0"/>
    <s v="3599"/>
    <s v="16.12.2024"/>
    <s v="16.12.2024"/>
    <x v="124"/>
    <s v="504201001"/>
    <x v="124"/>
    <n v="48551.4"/>
    <n v="8091.9"/>
    <m/>
  </r>
  <r>
    <n v="931"/>
    <x v="14"/>
    <x v="0"/>
    <s v="1612/1"/>
    <s v="16.12.2024"/>
    <s v="16.12.2024"/>
    <x v="151"/>
    <s v="231101001"/>
    <x v="151"/>
    <n v="72800"/>
    <n v="12133.33"/>
    <m/>
  </r>
  <r>
    <n v="932"/>
    <x v="14"/>
    <x v="0"/>
    <s v="П181224-003"/>
    <s v="18.12.2024"/>
    <s v="18.12.2024"/>
    <x v="36"/>
    <s v="772901001"/>
    <x v="36"/>
    <n v="177840"/>
    <n v="29640"/>
    <m/>
  </r>
  <r>
    <n v="933"/>
    <x v="14"/>
    <x v="0"/>
    <s v="610"/>
    <s v="18.12.2024"/>
    <s v="18.12.2024"/>
    <x v="112"/>
    <s v="370201001"/>
    <x v="112"/>
    <n v="507850"/>
    <n v="84641.67"/>
    <m/>
  </r>
  <r>
    <n v="934"/>
    <x v="14"/>
    <x v="1"/>
    <s v="А56"/>
    <s v="14.11.2024"/>
    <s v=""/>
    <x v="3"/>
    <s v="504201001"/>
    <x v="3"/>
    <n v="88303"/>
    <n v="10000"/>
    <m/>
  </r>
  <r>
    <n v="935"/>
    <x v="14"/>
    <x v="0"/>
    <s v="32761/114"/>
    <s v="20.12.2024"/>
    <s v="20.12.2024"/>
    <x v="111"/>
    <s v="997750001"/>
    <x v="111"/>
    <n v="284"/>
    <n v="47.33"/>
    <m/>
  </r>
  <r>
    <n v="936"/>
    <x v="14"/>
    <x v="0"/>
    <s v="377125/5318"/>
    <s v="20.12.2024"/>
    <s v="20.12.2024"/>
    <x v="111"/>
    <s v="997750001"/>
    <x v="111"/>
    <n v="257"/>
    <n v="42.83"/>
    <m/>
  </r>
  <r>
    <n v="937"/>
    <x v="14"/>
    <x v="0"/>
    <s v="56195/5541"/>
    <s v="20.12.2024"/>
    <s v="20.12.2024"/>
    <x v="111"/>
    <s v="997750001"/>
    <x v="111"/>
    <n v="5870"/>
    <n v="978.35"/>
    <m/>
  </r>
  <r>
    <n v="938"/>
    <x v="14"/>
    <x v="0"/>
    <s v="35076136"/>
    <s v="20.12.2024"/>
    <s v="20.12.2024"/>
    <x v="111"/>
    <s v="997750001"/>
    <x v="111"/>
    <n v="1999"/>
    <n v="333.17"/>
    <m/>
  </r>
  <r>
    <n v="939"/>
    <x v="14"/>
    <x v="0"/>
    <s v="15490381-МСК"/>
    <s v="22.12.2024"/>
    <s v="22.12.2024"/>
    <x v="9"/>
    <s v="997750001"/>
    <x v="9"/>
    <n v="129"/>
    <n v="21.5"/>
    <m/>
  </r>
  <r>
    <n v="940"/>
    <x v="14"/>
    <x v="0"/>
    <s v="15490380-МСК"/>
    <s v="22.12.2024"/>
    <s v="22.12.2024"/>
    <x v="9"/>
    <s v="997750001"/>
    <x v="9"/>
    <n v="7963"/>
    <n v="1327.17"/>
    <m/>
  </r>
  <r>
    <n v="941"/>
    <x v="14"/>
    <x v="1"/>
    <s v="А61"/>
    <s v="06.12.2024"/>
    <s v=""/>
    <x v="3"/>
    <s v="504201001"/>
    <x v="3"/>
    <n v="300000"/>
    <n v="50000"/>
    <m/>
  </r>
  <r>
    <n v="942"/>
    <x v="14"/>
    <x v="0"/>
    <s v="В12232"/>
    <s v="23.12.2024"/>
    <s v="23.12.2024"/>
    <x v="75"/>
    <s v="770101001"/>
    <x v="75"/>
    <n v="1940000"/>
    <n v="323333.33"/>
    <m/>
  </r>
  <r>
    <n v="943"/>
    <x v="14"/>
    <x v="0"/>
    <s v="18950"/>
    <s v="23.12.2024"/>
    <s v="23.12.2024"/>
    <x v="39"/>
    <s v="503801001"/>
    <x v="39"/>
    <n v="36000"/>
    <n v="6000"/>
    <m/>
  </r>
  <r>
    <n v="944"/>
    <x v="14"/>
    <x v="0"/>
    <s v="32323/4231"/>
    <s v="23.12.2024"/>
    <s v="23.12.2024"/>
    <x v="111"/>
    <s v="997750001"/>
    <x v="111"/>
    <n v="519"/>
    <n v="86.5"/>
    <m/>
  </r>
  <r>
    <n v="945"/>
    <x v="14"/>
    <x v="1"/>
    <s v="А63"/>
    <s v="18.12.2024"/>
    <s v=""/>
    <x v="3"/>
    <s v="504201001"/>
    <x v="3"/>
    <n v="1010000"/>
    <n v="168333.33"/>
    <m/>
  </r>
  <r>
    <n v="946"/>
    <x v="14"/>
    <x v="0"/>
    <s v="317"/>
    <s v="24.12.2024"/>
    <s v="24.12.2024"/>
    <x v="103"/>
    <s v="695001001"/>
    <x v="103"/>
    <n v="400360"/>
    <n v="66726.67"/>
    <m/>
  </r>
  <r>
    <n v="947"/>
    <x v="14"/>
    <x v="0"/>
    <s v="522"/>
    <s v="24.12.2024"/>
    <s v="24.12.2024"/>
    <x v="48"/>
    <s v="732501001"/>
    <x v="48"/>
    <n v="483604"/>
    <n v="80600.67"/>
    <m/>
  </r>
  <r>
    <n v="948"/>
    <x v="14"/>
    <x v="0"/>
    <s v="ПР02512-3"/>
    <s v="25.12.2024"/>
    <s v="25.12.2024"/>
    <x v="174"/>
    <s v="772201001"/>
    <x v="174"/>
    <n v="55000"/>
    <n v="9166.67"/>
    <m/>
  </r>
  <r>
    <n v="949"/>
    <x v="14"/>
    <x v="1"/>
    <s v="А62"/>
    <s v="17.12.2024"/>
    <s v=""/>
    <x v="3"/>
    <s v="504201001"/>
    <x v="3"/>
    <n v="1280000"/>
    <n v="213333.33"/>
    <m/>
  </r>
  <r>
    <n v="950"/>
    <x v="14"/>
    <x v="1"/>
    <s v="А65"/>
    <s v="24.12.2024"/>
    <s v=""/>
    <x v="3"/>
    <s v="504201001"/>
    <x v="3"/>
    <n v="76000"/>
    <n v="12666.67"/>
    <m/>
  </r>
  <r>
    <n v="951"/>
    <x v="14"/>
    <x v="0"/>
    <s v="56195/5772"/>
    <s v="26.12.2024"/>
    <s v="26.12.2024"/>
    <x v="111"/>
    <s v="997750001"/>
    <x v="111"/>
    <n v="907"/>
    <n v="151.17"/>
    <m/>
  </r>
  <r>
    <n v="952"/>
    <x v="14"/>
    <x v="0"/>
    <s v="1070589/0395"/>
    <s v="26.12.2024"/>
    <s v="26.12.2024"/>
    <x v="40"/>
    <s v="781001001"/>
    <x v="40"/>
    <n v="6120"/>
    <n v="899.18"/>
    <m/>
  </r>
  <r>
    <n v="953"/>
    <x v="14"/>
    <x v="0"/>
    <s v="ВС2612001"/>
    <s v="26.12.2024"/>
    <s v="26.12.2024"/>
    <x v="172"/>
    <s v="773001001"/>
    <x v="172"/>
    <n v="984252"/>
    <n v="164042"/>
    <m/>
  </r>
  <r>
    <n v="954"/>
    <x v="14"/>
    <x v="0"/>
    <s v="В12272"/>
    <s v="27.12.2024"/>
    <s v="27.12.2024"/>
    <x v="75"/>
    <s v="770101001"/>
    <x v="75"/>
    <n v="1940000"/>
    <n v="323333.33"/>
    <m/>
  </r>
  <r>
    <n v="955"/>
    <x v="14"/>
    <x v="1"/>
    <s v="А64"/>
    <s v="23.12.2024"/>
    <s v=""/>
    <x v="3"/>
    <s v="504201001"/>
    <x v="3"/>
    <n v="2020000"/>
    <n v="336666.67"/>
    <m/>
  </r>
  <r>
    <n v="956"/>
    <x v="14"/>
    <x v="1"/>
    <s v="А66"/>
    <s v="26.12.2024"/>
    <s v=""/>
    <x v="3"/>
    <s v="504201001"/>
    <x v="3"/>
    <n v="1010000"/>
    <n v="168333.33"/>
    <m/>
  </r>
  <r>
    <n v="957"/>
    <x v="14"/>
    <x v="1"/>
    <s v="А68"/>
    <s v="27.12.2024"/>
    <s v=""/>
    <x v="3"/>
    <s v="504201001"/>
    <x v="3"/>
    <n v="114000"/>
    <n v="19000"/>
    <m/>
  </r>
  <r>
    <n v="958"/>
    <x v="14"/>
    <x v="0"/>
    <s v="3012/2"/>
    <s v="30.12.2024"/>
    <s v="30.12.2024"/>
    <x v="151"/>
    <s v="231101001"/>
    <x v="151"/>
    <n v="72800"/>
    <n v="12133.33"/>
    <m/>
  </r>
  <r>
    <n v="959"/>
    <x v="14"/>
    <x v="0"/>
    <s v="7617"/>
    <s v="31.12.2024"/>
    <s v="31.12.2024"/>
    <x v="134"/>
    <s v="645201001"/>
    <x v="134"/>
    <n v="94838"/>
    <n v="15806.33"/>
    <m/>
  </r>
  <r>
    <n v="960"/>
    <x v="14"/>
    <x v="0"/>
    <s v="3745"/>
    <s v="31.12.2024"/>
    <s v="31.12.2024"/>
    <x v="124"/>
    <s v="504201001"/>
    <x v="124"/>
    <n v="30000"/>
    <n v="5000"/>
    <m/>
  </r>
  <r>
    <n v="961"/>
    <x v="14"/>
    <x v="0"/>
    <s v="3743"/>
    <s v="31.12.2024"/>
    <s v="31.12.2024"/>
    <x v="124"/>
    <s v="504201001"/>
    <x v="124"/>
    <n v="168145.64"/>
    <n v="28024.27"/>
    <m/>
  </r>
  <r>
    <n v="962"/>
    <x v="14"/>
    <x v="0"/>
    <s v="3744"/>
    <s v="31.12.2024"/>
    <s v="31.12.2024"/>
    <x v="124"/>
    <s v="504201001"/>
    <x v="124"/>
    <n v="3000"/>
    <n v="500"/>
    <m/>
  </r>
  <r>
    <n v="963"/>
    <x v="14"/>
    <x v="0"/>
    <s v="12-928852"/>
    <s v="31.12.2024"/>
    <s v="31.12.2024"/>
    <x v="142"/>
    <s v="771001001"/>
    <x v="142"/>
    <n v="55"/>
    <n v="9.17"/>
    <m/>
  </r>
  <r>
    <n v="964"/>
    <x v="14"/>
    <x v="0"/>
    <s v="12-136003"/>
    <s v="31.12.2024"/>
    <s v="31.12.2024"/>
    <x v="142"/>
    <s v="771001001"/>
    <x v="142"/>
    <n v="34"/>
    <n v="5.67"/>
    <m/>
  </r>
  <r>
    <n v="965"/>
    <x v="15"/>
    <x v="0"/>
    <s v="130924-0003"/>
    <s v="13.09.2024"/>
    <s v="01.01.2025"/>
    <x v="175"/>
    <s v="772901001"/>
    <x v="175"/>
    <n v="242424"/>
    <n v="40404"/>
    <m/>
  </r>
  <r>
    <n v="966"/>
    <x v="15"/>
    <x v="0"/>
    <s v="28792/3"/>
    <s v="07.01.2025"/>
    <s v="07.01.2025"/>
    <x v="111"/>
    <s v="997750001"/>
    <x v="111"/>
    <n v="755"/>
    <n v="68.64"/>
    <m/>
  </r>
  <r>
    <n v="967"/>
    <x v="15"/>
    <x v="0"/>
    <s v="2"/>
    <s v="07.01.2025"/>
    <s v="07.01.2025"/>
    <x v="176"/>
    <s v="370201001"/>
    <x v="176"/>
    <n v="681720"/>
    <n v="113620"/>
    <m/>
  </r>
  <r>
    <n v="968"/>
    <x v="15"/>
    <x v="0"/>
    <s v="В1131"/>
    <s v="13.01.2025"/>
    <s v="13.01.2025"/>
    <x v="75"/>
    <s v="770101001"/>
    <x v="75"/>
    <n v="1920000"/>
    <n v="320000"/>
    <m/>
  </r>
  <r>
    <n v="969"/>
    <x v="15"/>
    <x v="1"/>
    <s v="А67"/>
    <s v="26.12.2024"/>
    <s v=""/>
    <x v="3"/>
    <s v="504201001"/>
    <x v="3"/>
    <n v="2020000"/>
    <n v="336666.67"/>
    <m/>
  </r>
  <r>
    <n v="970"/>
    <x v="15"/>
    <x v="0"/>
    <s v="П140125-003"/>
    <s v="14.01.2025"/>
    <s v="14.01.2025"/>
    <x v="36"/>
    <s v="772901001"/>
    <x v="36"/>
    <n v="222000"/>
    <n v="37000"/>
    <m/>
  </r>
  <r>
    <n v="971"/>
    <x v="15"/>
    <x v="0"/>
    <s v="4"/>
    <s v="20.02.2025"/>
    <s v="16.01.2025"/>
    <x v="64"/>
    <s v="507401001"/>
    <x v="64"/>
    <n v="196752"/>
    <n v="32792"/>
    <m/>
  </r>
  <r>
    <n v="972"/>
    <x v="15"/>
    <x v="1"/>
    <s v="А56"/>
    <s v="14.11.2024"/>
    <s v=""/>
    <x v="3"/>
    <s v="504201001"/>
    <x v="3"/>
    <n v="88303"/>
    <n v="4717.17"/>
    <m/>
  </r>
  <r>
    <n v="973"/>
    <x v="15"/>
    <x v="0"/>
    <s v="8"/>
    <s v="16.01.2025"/>
    <s v="16.01.2025"/>
    <x v="176"/>
    <s v="370201001"/>
    <x v="176"/>
    <n v="606675"/>
    <n v="101112.5"/>
    <m/>
  </r>
  <r>
    <n v="974"/>
    <x v="15"/>
    <x v="1"/>
    <s v="А1"/>
    <s v="10.01.2025"/>
    <s v=""/>
    <x v="3"/>
    <s v="504201001"/>
    <x v="3"/>
    <n v="300000"/>
    <n v="50000"/>
    <m/>
  </r>
  <r>
    <n v="975"/>
    <x v="15"/>
    <x v="1"/>
    <s v="А2"/>
    <s v="13.01.2025"/>
    <s v=""/>
    <x v="3"/>
    <s v="504201001"/>
    <x v="3"/>
    <n v="500000"/>
    <n v="83333.33"/>
    <m/>
  </r>
  <r>
    <n v="976"/>
    <x v="15"/>
    <x v="1"/>
    <s v="А3"/>
    <s v="16.01.2025"/>
    <s v=""/>
    <x v="3"/>
    <s v="504201001"/>
    <x v="3"/>
    <n v="444000"/>
    <n v="74000"/>
    <m/>
  </r>
  <r>
    <n v="977"/>
    <x v="15"/>
    <x v="0"/>
    <s v="В1171"/>
    <s v="17.01.2025"/>
    <s v="17.01.2025"/>
    <x v="75"/>
    <s v="770101001"/>
    <x v="75"/>
    <n v="480000"/>
    <n v="80000"/>
    <m/>
  </r>
  <r>
    <n v="978"/>
    <x v="15"/>
    <x v="0"/>
    <s v="118001"/>
    <s v="18.01.2025"/>
    <s v="18.01.2025"/>
    <x v="177"/>
    <s v="773301001"/>
    <x v="177"/>
    <n v="468600"/>
    <n v="78100"/>
    <m/>
  </r>
  <r>
    <n v="979"/>
    <x v="15"/>
    <x v="0"/>
    <s v="74"/>
    <s v="20.01.2025"/>
    <s v="20.01.2025"/>
    <x v="178"/>
    <s v="503601001"/>
    <x v="178"/>
    <n v="55000"/>
    <n v="9166.67"/>
    <m/>
  </r>
  <r>
    <n v="980"/>
    <x v="15"/>
    <x v="0"/>
    <s v="0426136-МСК"/>
    <s v="21.01.2025"/>
    <s v="21.01.2025"/>
    <x v="9"/>
    <s v="997750001"/>
    <x v="9"/>
    <n v="5180"/>
    <n v="863.33"/>
    <m/>
  </r>
  <r>
    <n v="981"/>
    <x v="15"/>
    <x v="0"/>
    <s v="0426134-МСК"/>
    <s v="21.01.2025"/>
    <s v="21.01.2025"/>
    <x v="9"/>
    <s v="997750001"/>
    <x v="9"/>
    <n v="507"/>
    <n v="84.5"/>
    <m/>
  </r>
  <r>
    <n v="982"/>
    <x v="15"/>
    <x v="0"/>
    <s v="0426129-МСК"/>
    <s v="21.01.2025"/>
    <s v="21.01.2025"/>
    <x v="9"/>
    <s v="997750001"/>
    <x v="9"/>
    <n v="6028"/>
    <n v="1004.67"/>
    <m/>
  </r>
  <r>
    <n v="983"/>
    <x v="15"/>
    <x v="0"/>
    <s v="0426130-МСК"/>
    <s v="21.01.2025"/>
    <s v="21.01.2025"/>
    <x v="9"/>
    <s v="997750001"/>
    <x v="9"/>
    <n v="7334"/>
    <n v="1222.33"/>
    <m/>
  </r>
  <r>
    <n v="984"/>
    <x v="15"/>
    <x v="3"/>
    <s v="99"/>
    <s v="26.12.2024"/>
    <s v="24.01.2025"/>
    <x v="3"/>
    <s v="504201001"/>
    <x v="3"/>
    <n v="76000"/>
    <n v="12666.67"/>
    <m/>
  </r>
  <r>
    <n v="985"/>
    <x v="15"/>
    <x v="0"/>
    <s v="В1271"/>
    <s v="27.01.2025"/>
    <s v="27.01.2025"/>
    <x v="75"/>
    <s v="770101001"/>
    <x v="75"/>
    <n v="1920000"/>
    <n v="320000"/>
    <m/>
  </r>
  <r>
    <n v="986"/>
    <x v="15"/>
    <x v="0"/>
    <s v="П270125-001"/>
    <s v="27.01.2025"/>
    <s v="27.01.2025"/>
    <x v="36"/>
    <s v="772901001"/>
    <x v="36"/>
    <n v="204000"/>
    <n v="34000"/>
    <m/>
  </r>
  <r>
    <n v="987"/>
    <x v="15"/>
    <x v="0"/>
    <s v="127003"/>
    <s v="27.01.2025"/>
    <s v="27.01.2025"/>
    <x v="177"/>
    <s v="773301001"/>
    <x v="177"/>
    <n v="514950"/>
    <n v="85825"/>
    <m/>
  </r>
  <r>
    <n v="988"/>
    <x v="15"/>
    <x v="1"/>
    <s v="А4"/>
    <s v="16.01.2025"/>
    <s v=""/>
    <x v="3"/>
    <s v="504201001"/>
    <x v="3"/>
    <n v="2020000"/>
    <n v="336666.67"/>
    <m/>
  </r>
  <r>
    <n v="989"/>
    <x v="15"/>
    <x v="0"/>
    <s v="1000522/0395"/>
    <s v="28.01.2025"/>
    <s v="28.01.2025"/>
    <x v="40"/>
    <s v="781001001"/>
    <x v="40"/>
    <n v="5574"/>
    <n v="823.84"/>
    <m/>
  </r>
  <r>
    <n v="990"/>
    <x v="15"/>
    <x v="1"/>
    <s v="А7"/>
    <s v="28.01.2025"/>
    <s v=""/>
    <x v="3"/>
    <s v="504201001"/>
    <x v="3"/>
    <n v="370000"/>
    <n v="61666.67"/>
    <m/>
  </r>
  <r>
    <n v="991"/>
    <x v="15"/>
    <x v="0"/>
    <s v="3558968"/>
    <s v="29.01.2025"/>
    <s v="29.01.2025"/>
    <x v="111"/>
    <s v="997750001"/>
    <x v="111"/>
    <n v="2075"/>
    <n v="345.83"/>
    <m/>
  </r>
  <r>
    <n v="992"/>
    <x v="15"/>
    <x v="0"/>
    <s v="415"/>
    <s v="31.01.2025"/>
    <s v="31.01.2025"/>
    <x v="134"/>
    <s v="645201001"/>
    <x v="134"/>
    <n v="94838"/>
    <n v="15806.33"/>
    <m/>
  </r>
  <r>
    <n v="993"/>
    <x v="15"/>
    <x v="0"/>
    <s v="199"/>
    <s v="31.01.2025"/>
    <s v="31.01.2025"/>
    <x v="124"/>
    <s v="504201001"/>
    <x v="124"/>
    <n v="192786.87"/>
    <n v="32131.14"/>
    <m/>
  </r>
  <r>
    <n v="994"/>
    <x v="15"/>
    <x v="0"/>
    <s v="200"/>
    <s v="31.01.2025"/>
    <s v="31.01.2025"/>
    <x v="124"/>
    <s v="504201001"/>
    <x v="124"/>
    <n v="3000"/>
    <n v="500"/>
    <m/>
  </r>
  <r>
    <n v="995"/>
    <x v="15"/>
    <x v="0"/>
    <s v="201"/>
    <s v="31.01.2025"/>
    <s v="31.01.2025"/>
    <x v="124"/>
    <s v="504201001"/>
    <x v="124"/>
    <n v="30000"/>
    <n v="5000"/>
    <m/>
  </r>
  <r>
    <n v="996"/>
    <x v="15"/>
    <x v="0"/>
    <s v="35"/>
    <s v="31.01.2025"/>
    <s v="31.01.2025"/>
    <x v="124"/>
    <s v="504201001"/>
    <x v="124"/>
    <n v="55343.96"/>
    <n v="9223.99"/>
    <m/>
  </r>
  <r>
    <n v="997"/>
    <x v="15"/>
    <x v="0"/>
    <s v="0967796-МСК"/>
    <s v="05.02.2025"/>
    <s v="05.02.2025"/>
    <x v="9"/>
    <s v="997750001"/>
    <x v="9"/>
    <n v="1730"/>
    <n v="288.33"/>
    <m/>
  </r>
  <r>
    <n v="998"/>
    <x v="15"/>
    <x v="0"/>
    <s v="0967823-МСК"/>
    <s v="05.02.2025"/>
    <s v="05.02.2025"/>
    <x v="9"/>
    <s v="997750001"/>
    <x v="9"/>
    <n v="5017"/>
    <n v="836.16"/>
    <m/>
  </r>
  <r>
    <n v="999"/>
    <x v="15"/>
    <x v="0"/>
    <s v="110"/>
    <s v="06.02.2025"/>
    <s v="06.02.2025"/>
    <x v="179"/>
    <s v=""/>
    <x v="179"/>
    <n v="3907.5"/>
    <n v="651.25"/>
    <m/>
  </r>
  <r>
    <n v="1000"/>
    <x v="15"/>
    <x v="0"/>
    <s v="В2071"/>
    <s v="07.02.2025"/>
    <s v="07.02.2025"/>
    <x v="75"/>
    <s v="770101001"/>
    <x v="75"/>
    <n v="94000"/>
    <n v="15666.67"/>
    <m/>
  </r>
  <r>
    <n v="1001"/>
    <x v="15"/>
    <x v="0"/>
    <s v="В2102"/>
    <s v="10.02.2025"/>
    <s v="10.02.2025"/>
    <x v="75"/>
    <s v="770101001"/>
    <x v="75"/>
    <n v="470000"/>
    <n v="78333.33"/>
    <m/>
  </r>
  <r>
    <n v="1002"/>
    <x v="15"/>
    <x v="0"/>
    <s v="В2101"/>
    <s v="10.02.2025"/>
    <s v="10.02.2025"/>
    <x v="75"/>
    <s v="770101001"/>
    <x v="75"/>
    <n v="96000"/>
    <n v="16000"/>
    <m/>
  </r>
  <r>
    <n v="1003"/>
    <x v="15"/>
    <x v="0"/>
    <s v="1871"/>
    <s v="11.02.2025"/>
    <s v="11.02.2025"/>
    <x v="39"/>
    <s v="503801001"/>
    <x v="39"/>
    <n v="36000"/>
    <n v="6000"/>
    <m/>
  </r>
  <r>
    <n v="1004"/>
    <x v="15"/>
    <x v="1"/>
    <s v="А8"/>
    <s v="13.02.2025"/>
    <s v=""/>
    <x v="3"/>
    <s v="504201001"/>
    <x v="3"/>
    <n v="888000"/>
    <n v="148000"/>
    <m/>
  </r>
  <r>
    <n v="1005"/>
    <x v="15"/>
    <x v="0"/>
    <s v="341"/>
    <s v="17.02.2025"/>
    <s v="17.02.2025"/>
    <x v="124"/>
    <s v="504201001"/>
    <x v="124"/>
    <n v="49344.12"/>
    <n v="8224.02"/>
    <m/>
  </r>
  <r>
    <n v="1006"/>
    <x v="15"/>
    <x v="0"/>
    <s v="50"/>
    <s v="17.02.2025"/>
    <s v="17.02.2025"/>
    <x v="180"/>
    <s v="504201001"/>
    <x v="180"/>
    <n v="36400"/>
    <n v="6066.66"/>
    <m/>
  </r>
  <r>
    <n v="1007"/>
    <x v="15"/>
    <x v="1"/>
    <s v="А10"/>
    <s v="17.02.2025"/>
    <s v=""/>
    <x v="3"/>
    <s v="504201001"/>
    <x v="3"/>
    <n v="257500"/>
    <n v="42916.67"/>
    <m/>
  </r>
  <r>
    <n v="1008"/>
    <x v="15"/>
    <x v="0"/>
    <s v="1902003"/>
    <s v="19.02.2025"/>
    <s v="19.02.2025"/>
    <x v="181"/>
    <s v="772201001"/>
    <x v="181"/>
    <n v="924975"/>
    <n v="154162.5"/>
    <m/>
  </r>
  <r>
    <n v="1009"/>
    <x v="15"/>
    <x v="0"/>
    <s v="2366"/>
    <s v="20.02.2025"/>
    <s v="20.02.2025"/>
    <x v="39"/>
    <s v="503801001"/>
    <x v="39"/>
    <n v="36000"/>
    <n v="6000"/>
    <m/>
  </r>
  <r>
    <n v="1010"/>
    <x v="15"/>
    <x v="0"/>
    <s v="2367"/>
    <s v="20.02.2025"/>
    <s v="20.02.2025"/>
    <x v="39"/>
    <s v="503801001"/>
    <x v="39"/>
    <n v="36000"/>
    <n v="6000"/>
    <m/>
  </r>
  <r>
    <n v="1011"/>
    <x v="15"/>
    <x v="0"/>
    <s v="42"/>
    <s v="20.02.2025"/>
    <s v="20.02.2025"/>
    <x v="182"/>
    <s v="370201001"/>
    <x v="182"/>
    <n v="596928"/>
    <n v="99488"/>
    <m/>
  </r>
  <r>
    <n v="1012"/>
    <x v="15"/>
    <x v="0"/>
    <s v="1471514-МСК"/>
    <s v="21.02.2025"/>
    <s v="21.02.2025"/>
    <x v="9"/>
    <s v="997750001"/>
    <x v="9"/>
    <n v="3800"/>
    <n v="633.33"/>
    <m/>
  </r>
  <r>
    <n v="1013"/>
    <x v="15"/>
    <x v="0"/>
    <s v="226002"/>
    <s v="26.02.2025"/>
    <s v="26.02.2025"/>
    <x v="177"/>
    <s v="772001001"/>
    <x v="177"/>
    <n v="419424"/>
    <n v="69904"/>
    <m/>
  </r>
  <r>
    <n v="1014"/>
    <x v="15"/>
    <x v="1"/>
    <s v="А13"/>
    <s v="26.02.2025"/>
    <s v=""/>
    <x v="3"/>
    <s v="504201001"/>
    <x v="3"/>
    <n v="885780"/>
    <n v="141549.67"/>
    <m/>
  </r>
  <r>
    <n v="1015"/>
    <x v="15"/>
    <x v="0"/>
    <s v="1053"/>
    <s v="28.02.2025"/>
    <s v="28.02.2025"/>
    <x v="134"/>
    <s v="645201001"/>
    <x v="134"/>
    <n v="0"/>
    <n v="15806.33"/>
    <m/>
  </r>
  <r>
    <n v="1016"/>
    <x v="15"/>
    <x v="0"/>
    <s v="473"/>
    <s v="28.02.2025"/>
    <s v="28.02.2025"/>
    <x v="124"/>
    <s v="504201001"/>
    <x v="124"/>
    <n v="193873.75"/>
    <n v="32312.3"/>
    <m/>
  </r>
  <r>
    <n v="1017"/>
    <x v="15"/>
    <x v="0"/>
    <s v="474"/>
    <s v="28.02.2025"/>
    <s v="28.02.2025"/>
    <x v="124"/>
    <s v="504201001"/>
    <x v="124"/>
    <n v="107.14"/>
    <n v="17.86"/>
    <m/>
  </r>
  <r>
    <n v="1018"/>
    <x v="15"/>
    <x v="0"/>
    <s v="476"/>
    <s v="28.02.2025"/>
    <s v="28.02.2025"/>
    <x v="124"/>
    <s v="504201001"/>
    <x v="124"/>
    <n v="30000"/>
    <n v="5000"/>
    <m/>
  </r>
  <r>
    <n v="1019"/>
    <x v="15"/>
    <x v="0"/>
    <s v="228006"/>
    <s v="28.02.2025"/>
    <s v="28.02.2025"/>
    <x v="177"/>
    <s v="772001001"/>
    <x v="177"/>
    <n v="472600"/>
    <n v="78766.66"/>
    <m/>
  </r>
  <r>
    <n v="1020"/>
    <x v="15"/>
    <x v="0"/>
    <s v="В3032"/>
    <s v="03.03.2025"/>
    <s v="03.03.2025"/>
    <x v="75"/>
    <s v="770101001"/>
    <x v="75"/>
    <n v="76375"/>
    <n v="12729.16"/>
    <m/>
  </r>
  <r>
    <n v="1021"/>
    <x v="15"/>
    <x v="0"/>
    <s v="В3033"/>
    <s v="03.03.2025"/>
    <s v="03.03.2025"/>
    <x v="75"/>
    <s v="770101001"/>
    <x v="75"/>
    <n v="18800"/>
    <n v="3133.33"/>
    <m/>
  </r>
  <r>
    <n v="1022"/>
    <x v="15"/>
    <x v="0"/>
    <s v="В3052"/>
    <s v="05.03.2025"/>
    <s v="05.03.2025"/>
    <x v="75"/>
    <s v="770101001"/>
    <x v="75"/>
    <n v="525000"/>
    <n v="87500"/>
    <m/>
  </r>
  <r>
    <n v="1023"/>
    <x v="15"/>
    <x v="1"/>
    <s v="А11"/>
    <s v="21.02.2025"/>
    <s v=""/>
    <x v="3"/>
    <s v="504201001"/>
    <x v="3"/>
    <n v="263390"/>
    <n v="43898.33"/>
    <m/>
  </r>
  <r>
    <n v="1024"/>
    <x v="15"/>
    <x v="1"/>
    <s v="А12"/>
    <s v="26.02.2025"/>
    <s v=""/>
    <x v="3"/>
    <s v="504201001"/>
    <x v="3"/>
    <n v="400000"/>
    <n v="66666.67"/>
    <m/>
  </r>
  <r>
    <n v="1025"/>
    <x v="15"/>
    <x v="1"/>
    <s v="А14"/>
    <s v="05.03.2025"/>
    <s v=""/>
    <x v="3"/>
    <s v="504201001"/>
    <x v="3"/>
    <n v="150000"/>
    <n v="25000"/>
    <m/>
  </r>
  <r>
    <n v="1026"/>
    <x v="15"/>
    <x v="0"/>
    <s v="382"/>
    <s v="06.03.2025"/>
    <s v="06.03.2025"/>
    <x v="183"/>
    <s v=""/>
    <x v="183"/>
    <n v="4904"/>
    <n v="233.53"/>
    <m/>
  </r>
  <r>
    <n v="1027"/>
    <x v="15"/>
    <x v="1"/>
    <s v="А15"/>
    <s v="06.03.2025"/>
    <s v=""/>
    <x v="3"/>
    <s v="504201001"/>
    <x v="3"/>
    <n v="269614"/>
    <n v="44935.67"/>
    <m/>
  </r>
  <r>
    <n v="1028"/>
    <x v="15"/>
    <x v="0"/>
    <s v="10364767"/>
    <s v="08.03.2025"/>
    <s v="08.03.2025"/>
    <x v="111"/>
    <s v="997750001"/>
    <x v="111"/>
    <n v="2189"/>
    <n v="364.83"/>
    <m/>
  </r>
  <r>
    <n v="1029"/>
    <x v="15"/>
    <x v="0"/>
    <s v="В3171"/>
    <s v="17.03.2025"/>
    <s v="10.03.2025"/>
    <x v="75"/>
    <s v="770101001"/>
    <x v="75"/>
    <n v="1656000"/>
    <n v="276000"/>
    <m/>
  </r>
  <r>
    <n v="1030"/>
    <x v="15"/>
    <x v="1"/>
    <s v="А17"/>
    <s v="10.03.2025"/>
    <s v=""/>
    <x v="3"/>
    <s v="504201001"/>
    <x v="3"/>
    <n v="1282614"/>
    <n v="213769"/>
    <m/>
  </r>
  <r>
    <n v="1031"/>
    <x v="15"/>
    <x v="1"/>
    <s v="А16"/>
    <s v="06.03.2025"/>
    <s v=""/>
    <x v="3"/>
    <s v="504201001"/>
    <x v="3"/>
    <n v="515000"/>
    <n v="85833.33"/>
    <m/>
  </r>
  <r>
    <n v="1032"/>
    <x v="15"/>
    <x v="1"/>
    <s v="А18"/>
    <s v="12.03.2025"/>
    <s v=""/>
    <x v="3"/>
    <s v="504201001"/>
    <x v="3"/>
    <n v="494614"/>
    <n v="82435.67"/>
    <m/>
  </r>
  <r>
    <n v="1033"/>
    <x v="15"/>
    <x v="0"/>
    <s v="101"/>
    <s v="13.03.2025"/>
    <s v="13.03.2025"/>
    <x v="18"/>
    <s v="761001001"/>
    <x v="18"/>
    <n v="26700"/>
    <n v="4450"/>
    <m/>
  </r>
  <r>
    <n v="1034"/>
    <x v="15"/>
    <x v="0"/>
    <s v="40"/>
    <s v="13.03.2025"/>
    <s v="13.03.2025"/>
    <x v="30"/>
    <s v="120001001"/>
    <x v="30"/>
    <n v="191060"/>
    <n v="31843.33"/>
    <m/>
  </r>
  <r>
    <n v="1035"/>
    <x v="15"/>
    <x v="0"/>
    <s v="ПР01403-1"/>
    <s v="14.03.2025"/>
    <s v="14.03.2025"/>
    <x v="174"/>
    <s v="772201001"/>
    <x v="174"/>
    <n v="58000"/>
    <n v="9666.67"/>
    <m/>
  </r>
  <r>
    <n v="1036"/>
    <x v="15"/>
    <x v="0"/>
    <s v="645"/>
    <s v="17.03.2025"/>
    <s v="17.03.2025"/>
    <x v="124"/>
    <s v="504201001"/>
    <x v="124"/>
    <n v="46051.83"/>
    <n v="7675.31"/>
    <m/>
  </r>
  <r>
    <n v="1037"/>
    <x v="15"/>
    <x v="0"/>
    <s v="538324/443"/>
    <s v="17.03.2025"/>
    <s v="17.03.2025"/>
    <x v="111"/>
    <s v="997750001"/>
    <x v="111"/>
    <n v="10732"/>
    <n v="511.05"/>
    <m/>
  </r>
  <r>
    <n v="1038"/>
    <x v="15"/>
    <x v="0"/>
    <s v="2150218-МСК"/>
    <s v="17.03.2025"/>
    <s v="17.03.2025"/>
    <x v="9"/>
    <s v="997750001"/>
    <x v="9"/>
    <n v="4000"/>
    <n v="666.67"/>
    <m/>
  </r>
  <r>
    <n v="1039"/>
    <x v="15"/>
    <x v="1"/>
    <s v="А20"/>
    <s v="18.03.2025"/>
    <s v=""/>
    <x v="3"/>
    <s v="504201001"/>
    <x v="3"/>
    <n v="914614"/>
    <n v="152435.67"/>
    <m/>
  </r>
  <r>
    <n v="1040"/>
    <x v="15"/>
    <x v="0"/>
    <s v="В3202"/>
    <s v="20.03.2025"/>
    <s v="19.03.2025"/>
    <x v="75"/>
    <s v="770101001"/>
    <x v="75"/>
    <n v="460000"/>
    <n v="76666.67"/>
    <m/>
  </r>
  <r>
    <n v="1041"/>
    <x v="15"/>
    <x v="0"/>
    <s v="В3191"/>
    <s v="19.03.2025"/>
    <s v="19.03.2025"/>
    <x v="75"/>
    <s v="770101001"/>
    <x v="75"/>
    <n v="1840000"/>
    <n v="306666.67"/>
    <m/>
  </r>
  <r>
    <n v="1042"/>
    <x v="15"/>
    <x v="1"/>
    <s v="А9"/>
    <s v="17.02.2025"/>
    <s v=""/>
    <x v="3"/>
    <s v="504201001"/>
    <x v="3"/>
    <n v="27824"/>
    <n v="4637.33"/>
    <m/>
  </r>
  <r>
    <n v="1043"/>
    <x v="15"/>
    <x v="1"/>
    <s v="А19"/>
    <s v="14.03.2025"/>
    <s v=""/>
    <x v="3"/>
    <s v="504201001"/>
    <x v="3"/>
    <n v="370000"/>
    <n v="61666.67"/>
    <m/>
  </r>
  <r>
    <n v="1044"/>
    <x v="15"/>
    <x v="0"/>
    <s v="56195/1908"/>
    <s v="24.03.2025"/>
    <s v="24.03.2025"/>
    <x v="111"/>
    <s v="997750001"/>
    <x v="111"/>
    <n v="6000"/>
    <n v="1000"/>
    <m/>
  </r>
  <r>
    <n v="1045"/>
    <x v="15"/>
    <x v="0"/>
    <s v="1006388/0163"/>
    <s v="26.03.2025"/>
    <s v="26.03.2025"/>
    <x v="40"/>
    <s v="781001001"/>
    <x v="40"/>
    <n v="1434"/>
    <n v="216.5"/>
    <m/>
  </r>
  <r>
    <n v="1046"/>
    <x v="15"/>
    <x v="0"/>
    <s v="В3272"/>
    <s v="27.03.2025"/>
    <s v="27.03.2025"/>
    <x v="75"/>
    <s v="770101001"/>
    <x v="75"/>
    <n v="955000"/>
    <n v="159166.67"/>
    <m/>
  </r>
  <r>
    <n v="1047"/>
    <x v="15"/>
    <x v="1"/>
    <s v="А24"/>
    <s v="27.03.2025"/>
    <s v=""/>
    <x v="3"/>
    <s v="504201001"/>
    <x v="3"/>
    <n v="5200"/>
    <n v="866.67"/>
    <m/>
  </r>
  <r>
    <n v="1048"/>
    <x v="15"/>
    <x v="0"/>
    <s v="В3282"/>
    <s v="28.03.2025"/>
    <s v="28.03.2025"/>
    <x v="75"/>
    <s v="770101001"/>
    <x v="75"/>
    <n v="955000"/>
    <n v="159166.67"/>
    <m/>
  </r>
  <r>
    <n v="1049"/>
    <x v="15"/>
    <x v="0"/>
    <s v="1684"/>
    <s v="31.03.2025"/>
    <s v="31.03.2025"/>
    <x v="134"/>
    <s v="645201001"/>
    <x v="134"/>
    <n v="0"/>
    <n v="15806.33"/>
    <m/>
  </r>
  <r>
    <n v="1050"/>
    <x v="15"/>
    <x v="0"/>
    <s v="В3312"/>
    <s v="31.03.2025"/>
    <s v="31.03.2025"/>
    <x v="75"/>
    <s v="770101001"/>
    <x v="75"/>
    <n v="1878000"/>
    <n v="313000"/>
    <m/>
  </r>
  <r>
    <n v="1051"/>
    <x v="15"/>
    <x v="0"/>
    <s v="860"/>
    <s v="31.03.2025"/>
    <s v="31.03.2025"/>
    <x v="124"/>
    <s v="504201001"/>
    <x v="124"/>
    <n v="194824.77"/>
    <n v="32470.79"/>
    <m/>
  </r>
  <r>
    <n v="1052"/>
    <x v="15"/>
    <x v="0"/>
    <s v="3103003"/>
    <s v="31.03.2025"/>
    <s v="31.03.2025"/>
    <x v="181"/>
    <s v="772201001"/>
    <x v="181"/>
    <n v="924975"/>
    <n v="154162.5"/>
    <m/>
  </r>
  <r>
    <n v="1053"/>
    <x v="15"/>
    <x v="0"/>
    <s v="03-825123"/>
    <s v="31.03.2025"/>
    <s v="31.03.2025"/>
    <x v="142"/>
    <s v="771001001"/>
    <x v="142"/>
    <n v="472.14"/>
    <n v="78.69"/>
    <m/>
  </r>
  <r>
    <n v="1054"/>
    <x v="15"/>
    <x v="0"/>
    <s v="0802773-МСК"/>
    <s v="31.03.2025"/>
    <s v="31.03.2025"/>
    <x v="9"/>
    <s v="997750001"/>
    <x v="9"/>
    <n v="3700"/>
    <n v="616.67"/>
    <m/>
  </r>
  <r>
    <n v="1055"/>
    <x v="16"/>
    <x v="1"/>
    <s v="А23"/>
    <s v="26.03.2025"/>
    <s v=""/>
    <x v="3"/>
    <s v="504201001"/>
    <x v="3"/>
    <n v="5250"/>
    <n v="875"/>
    <m/>
  </r>
  <r>
    <n v="1056"/>
    <x v="16"/>
    <x v="0"/>
    <s v="56350"/>
    <s v="03.03.2025"/>
    <s v="01.04.2025"/>
    <x v="184"/>
    <s v="524501001"/>
    <x v="184"/>
    <n v="38500"/>
    <n v="6416.67"/>
    <m/>
  </r>
  <r>
    <n v="1057"/>
    <x v="16"/>
    <x v="0"/>
    <s v="В4013"/>
    <s v="01.04.2025"/>
    <s v="01.04.2025"/>
    <x v="75"/>
    <s v="770101001"/>
    <x v="75"/>
    <n v="4700"/>
    <n v="783.33"/>
    <m/>
  </r>
  <r>
    <n v="1058"/>
    <x v="16"/>
    <x v="0"/>
    <s v="15075944"/>
    <s v="03.04.2025"/>
    <s v="03.04.2025"/>
    <x v="111"/>
    <s v="997750001"/>
    <x v="111"/>
    <n v="2189"/>
    <n v="364.83"/>
    <m/>
  </r>
  <r>
    <n v="1059"/>
    <x v="16"/>
    <x v="0"/>
    <s v="4986"/>
    <s v="03.04.2025"/>
    <s v="03.04.2025"/>
    <x v="39"/>
    <s v="503801001"/>
    <x v="39"/>
    <n v="72000"/>
    <n v="12000"/>
    <m/>
  </r>
  <r>
    <n v="1060"/>
    <x v="16"/>
    <x v="1"/>
    <s v="А22"/>
    <s v="24.03.2025"/>
    <s v=""/>
    <x v="3"/>
    <s v="504201001"/>
    <x v="3"/>
    <n v="500000"/>
    <n v="83333.33"/>
    <m/>
  </r>
  <r>
    <n v="1061"/>
    <x v="16"/>
    <x v="1"/>
    <s v="А25"/>
    <s v="02.04.2025"/>
    <s v=""/>
    <x v="3"/>
    <s v="504201001"/>
    <x v="3"/>
    <n v="400000"/>
    <n v="66666.67"/>
    <m/>
  </r>
  <r>
    <n v="1062"/>
    <x v="16"/>
    <x v="0"/>
    <s v="5098"/>
    <s v="05.04.2025"/>
    <s v="05.04.2025"/>
    <x v="39"/>
    <s v="503801001"/>
    <x v="39"/>
    <n v="72000"/>
    <n v="12000"/>
    <m/>
  </r>
  <r>
    <n v="1063"/>
    <x v="16"/>
    <x v="0"/>
    <s v="В4102"/>
    <s v="10.04.2025"/>
    <s v="07.04.2025"/>
    <x v="75"/>
    <s v="770101001"/>
    <x v="75"/>
    <n v="1840000"/>
    <n v="306666.67"/>
    <m/>
  </r>
  <r>
    <n v="1064"/>
    <x v="16"/>
    <x v="0"/>
    <s v="В4153"/>
    <s v="15.04.2025"/>
    <s v="07.04.2025"/>
    <x v="75"/>
    <s v="770101001"/>
    <x v="75"/>
    <n v="1748000"/>
    <n v="291333.33"/>
    <m/>
  </r>
  <r>
    <n v="1065"/>
    <x v="16"/>
    <x v="1"/>
    <s v="А21"/>
    <s v="24.03.2025"/>
    <s v=""/>
    <x v="3"/>
    <s v="504201001"/>
    <x v="3"/>
    <n v="27824"/>
    <n v="4637.33"/>
    <m/>
  </r>
  <r>
    <n v="1066"/>
    <x v="16"/>
    <x v="0"/>
    <s v="В4072"/>
    <s v="07.04.2025"/>
    <s v="07.04.2025"/>
    <x v="75"/>
    <s v="770101001"/>
    <x v="75"/>
    <n v="309000"/>
    <n v="51500"/>
    <m/>
  </r>
  <r>
    <n v="1067"/>
    <x v="16"/>
    <x v="0"/>
    <s v="5187"/>
    <s v="08.04.2025"/>
    <s v="08.04.2025"/>
    <x v="39"/>
    <s v="503801001"/>
    <x v="39"/>
    <n v="72000"/>
    <n v="12000"/>
    <m/>
  </r>
  <r>
    <n v="1068"/>
    <x v="16"/>
    <x v="0"/>
    <s v="В4082"/>
    <s v="08.04.2025"/>
    <s v="08.04.2025"/>
    <x v="75"/>
    <s v="770101001"/>
    <x v="75"/>
    <n v="947000"/>
    <n v="157833.33"/>
    <m/>
  </r>
  <r>
    <n v="1069"/>
    <x v="16"/>
    <x v="1"/>
    <s v="А27"/>
    <s v="08.04.2025"/>
    <s v=""/>
    <x v="3"/>
    <s v="504201001"/>
    <x v="3"/>
    <n v="1000000"/>
    <n v="166666.67"/>
    <m/>
  </r>
  <r>
    <n v="1070"/>
    <x v="16"/>
    <x v="0"/>
    <s v="2867691-МСК"/>
    <s v="10.04.2025"/>
    <s v="10.04.2025"/>
    <x v="9"/>
    <s v="997750001"/>
    <x v="9"/>
    <n v="4000"/>
    <n v="666.67"/>
    <m/>
  </r>
  <r>
    <n v="1071"/>
    <x v="16"/>
    <x v="0"/>
    <s v="1004003"/>
    <s v="10.04.2025"/>
    <s v="10.04.2025"/>
    <x v="185"/>
    <s v="772101001"/>
    <x v="185"/>
    <n v="453600"/>
    <n v="75600"/>
    <m/>
  </r>
  <r>
    <n v="1072"/>
    <x v="16"/>
    <x v="1"/>
    <s v="А26"/>
    <s v="03.04.2025"/>
    <s v=""/>
    <x v="3"/>
    <s v="504201001"/>
    <x v="3"/>
    <n v="315000"/>
    <n v="52500"/>
    <m/>
  </r>
  <r>
    <n v="1073"/>
    <x v="16"/>
    <x v="0"/>
    <s v="979"/>
    <s v="15.04.2025"/>
    <s v="15.04.2025"/>
    <x v="124"/>
    <s v="504201001"/>
    <x v="124"/>
    <n v="62182.5"/>
    <n v="10363.75"/>
    <m/>
  </r>
  <r>
    <n v="1074"/>
    <x v="16"/>
    <x v="0"/>
    <s v="В4152"/>
    <s v="15.04.2025"/>
    <s v="15.04.2025"/>
    <x v="75"/>
    <s v="770101001"/>
    <x v="75"/>
    <n v="14700"/>
    <n v="2450"/>
    <m/>
  </r>
  <r>
    <n v="1075"/>
    <x v="16"/>
    <x v="0"/>
    <s v="000000000243"/>
    <s v="21.04.2025"/>
    <s v="21.04.2025"/>
    <x v="90"/>
    <s v="184001001"/>
    <x v="90"/>
    <n v="19000"/>
    <n v="3166.67"/>
    <m/>
  </r>
  <r>
    <n v="1076"/>
    <x v="16"/>
    <x v="1"/>
    <s v="А30"/>
    <s v="17.04.2025"/>
    <s v=""/>
    <x v="3"/>
    <s v="504201001"/>
    <x v="3"/>
    <n v="434000"/>
    <n v="72333.33"/>
    <m/>
  </r>
  <r>
    <n v="1077"/>
    <x v="16"/>
    <x v="0"/>
    <s v="В4221"/>
    <s v="22.04.2025"/>
    <s v="22.04.2025"/>
    <x v="75"/>
    <s v="770101001"/>
    <x v="75"/>
    <n v="412000"/>
    <n v="68666.67"/>
    <m/>
  </r>
  <r>
    <n v="1078"/>
    <x v="16"/>
    <x v="0"/>
    <s v="3322680-МСК"/>
    <s v="24.04.2025"/>
    <s v="24.04.2025"/>
    <x v="9"/>
    <s v="997750001"/>
    <x v="9"/>
    <n v="4635"/>
    <n v="772.5"/>
    <m/>
  </r>
  <r>
    <n v="1079"/>
    <x v="16"/>
    <x v="1"/>
    <s v="А29"/>
    <s v="15.04.2025"/>
    <s v=""/>
    <x v="3"/>
    <s v="504201001"/>
    <x v="3"/>
    <n v="119824"/>
    <n v="19970.67"/>
    <m/>
  </r>
  <r>
    <n v="1080"/>
    <x v="16"/>
    <x v="0"/>
    <s v="В4281"/>
    <s v="28.04.2025"/>
    <s v="28.04.2025"/>
    <x v="75"/>
    <s v="770101001"/>
    <x v="75"/>
    <n v="1785240"/>
    <n v="297540"/>
    <m/>
  </r>
  <r>
    <n v="1081"/>
    <x v="16"/>
    <x v="0"/>
    <s v="1157"/>
    <s v="29.04.2025"/>
    <s v="29.04.2025"/>
    <x v="124"/>
    <s v="504201001"/>
    <x v="124"/>
    <n v="177398.52"/>
    <n v="29566.42"/>
    <m/>
  </r>
  <r>
    <n v="1082"/>
    <x v="16"/>
    <x v="0"/>
    <s v="1156"/>
    <s v="29.04.2025"/>
    <s v="29.04.2025"/>
    <x v="124"/>
    <s v="504201001"/>
    <x v="124"/>
    <n v="4000"/>
    <n v="666.67"/>
    <m/>
  </r>
  <r>
    <n v="1083"/>
    <x v="16"/>
    <x v="0"/>
    <s v="В4292"/>
    <s v="29.04.2025"/>
    <s v="29.04.2025"/>
    <x v="75"/>
    <s v="770101001"/>
    <x v="75"/>
    <n v="188000"/>
    <n v="31333.33"/>
    <m/>
  </r>
  <r>
    <n v="1084"/>
    <x v="16"/>
    <x v="0"/>
    <s v="2327"/>
    <s v="30.04.2025"/>
    <s v="30.04.2025"/>
    <x v="134"/>
    <s v="645201001"/>
    <x v="134"/>
    <n v="0"/>
    <n v="15806.33"/>
    <m/>
  </r>
  <r>
    <n v="1085"/>
    <x v="16"/>
    <x v="1"/>
    <s v="А33"/>
    <s v="21.04.2025"/>
    <s v=""/>
    <x v="3"/>
    <s v="504201001"/>
    <x v="3"/>
    <n v="1000000"/>
    <n v="166666.67"/>
    <m/>
  </r>
  <r>
    <n v="1086"/>
    <x v="16"/>
    <x v="1"/>
    <s v="А35"/>
    <s v="28.04.2025"/>
    <s v=""/>
    <x v="3"/>
    <s v="504201001"/>
    <x v="3"/>
    <n v="810000"/>
    <n v="135000"/>
    <m/>
  </r>
  <r>
    <n v="1087"/>
    <x v="16"/>
    <x v="0"/>
    <s v="04-941353"/>
    <s v="30.04.2025"/>
    <s v="30.04.2025"/>
    <x v="142"/>
    <s v="771001001"/>
    <x v="142"/>
    <n v="641.86"/>
    <n v="106.98"/>
    <m/>
  </r>
  <r>
    <n v="1088"/>
    <x v="16"/>
    <x v="0"/>
    <s v="04-941406"/>
    <s v="30.04.2025"/>
    <s v="30.04.2025"/>
    <x v="142"/>
    <s v="771001001"/>
    <x v="142"/>
    <n v="165.38"/>
    <n v="27.56"/>
    <m/>
  </r>
  <r>
    <n v="1089"/>
    <x v="16"/>
    <x v="0"/>
    <s v="146"/>
    <s v="30.04.2025"/>
    <s v="30.04.2025"/>
    <x v="186"/>
    <s v="330001001"/>
    <x v="186"/>
    <n v="35000"/>
    <n v="5833.33"/>
    <m/>
  </r>
  <r>
    <n v="1090"/>
    <x v="16"/>
    <x v="0"/>
    <s v="103"/>
    <s v="01.05.2025"/>
    <s v="01.05.2025"/>
    <x v="176"/>
    <s v="370201001"/>
    <x v="176"/>
    <n v="429784"/>
    <n v="71630.67"/>
    <m/>
  </r>
  <r>
    <n v="1091"/>
    <x v="16"/>
    <x v="1"/>
    <s v="А28"/>
    <s v="09.04.2025"/>
    <s v=""/>
    <x v="3"/>
    <s v="504201001"/>
    <x v="3"/>
    <n v="150000"/>
    <n v="25000"/>
    <m/>
  </r>
  <r>
    <n v="1092"/>
    <x v="16"/>
    <x v="0"/>
    <s v="В5052"/>
    <s v="05.05.2025"/>
    <s v="05.05.2025"/>
    <x v="75"/>
    <s v="770101001"/>
    <x v="75"/>
    <n v="1055691"/>
    <n v="175948.5"/>
    <m/>
  </r>
  <r>
    <n v="1093"/>
    <x v="16"/>
    <x v="1"/>
    <s v="А34"/>
    <s v="24.04.2025"/>
    <s v=""/>
    <x v="3"/>
    <s v="504201001"/>
    <x v="3"/>
    <n v="252000"/>
    <n v="42000"/>
    <m/>
  </r>
  <r>
    <n v="1094"/>
    <x v="16"/>
    <x v="1"/>
    <s v="А37"/>
    <s v="06.05.2025"/>
    <s v=""/>
    <x v="3"/>
    <s v="504201001"/>
    <x v="3"/>
    <n v="483000"/>
    <n v="80500"/>
    <m/>
  </r>
  <r>
    <n v="1095"/>
    <x v="16"/>
    <x v="1"/>
    <s v="А38"/>
    <s v="06.05.2025"/>
    <s v=""/>
    <x v="3"/>
    <s v="504201001"/>
    <x v="3"/>
    <n v="930000"/>
    <n v="155000"/>
    <m/>
  </r>
  <r>
    <n v="1096"/>
    <x v="16"/>
    <x v="1"/>
    <s v="А31"/>
    <s v="18.04.2025"/>
    <s v=""/>
    <x v="3"/>
    <s v="504201001"/>
    <x v="3"/>
    <n v="444000"/>
    <n v="74000"/>
    <m/>
  </r>
  <r>
    <n v="1097"/>
    <x v="16"/>
    <x v="0"/>
    <s v="В5091"/>
    <s v="09.05.2025"/>
    <s v="09.05.2025"/>
    <x v="75"/>
    <s v="770101001"/>
    <x v="75"/>
    <n v="1940000"/>
    <n v="323333.34"/>
    <m/>
  </r>
  <r>
    <n v="1098"/>
    <x v="16"/>
    <x v="0"/>
    <s v="В5131"/>
    <s v="13.05.2025"/>
    <s v="13.05.2025"/>
    <x v="75"/>
    <s v="770101001"/>
    <x v="75"/>
    <n v="515000"/>
    <n v="85833.33"/>
    <m/>
  </r>
  <r>
    <n v="1099"/>
    <x v="16"/>
    <x v="0"/>
    <s v="3766839-МСК"/>
    <s v="14.05.2025"/>
    <s v="14.05.2025"/>
    <x v="9"/>
    <s v="997750001"/>
    <x v="9"/>
    <n v="1742"/>
    <n v="290.34"/>
    <m/>
  </r>
  <r>
    <n v="1100"/>
    <x v="16"/>
    <x v="0"/>
    <s v="3766838-МСК"/>
    <s v="14.05.2025"/>
    <s v="14.05.2025"/>
    <x v="9"/>
    <s v="997750001"/>
    <x v="9"/>
    <n v="1270"/>
    <n v="211.67"/>
    <m/>
  </r>
  <r>
    <n v="1101"/>
    <x v="16"/>
    <x v="1"/>
    <s v="А32"/>
    <s v="18.04.2025"/>
    <s v=""/>
    <x v="3"/>
    <s v="504201001"/>
    <x v="3"/>
    <n v="700000"/>
    <n v="116666.67"/>
    <m/>
  </r>
  <r>
    <n v="1102"/>
    <x v="16"/>
    <x v="0"/>
    <s v="В5062"/>
    <s v="04.06.2025"/>
    <s v="16.05.2025"/>
    <x v="75"/>
    <s v="770101001"/>
    <x v="75"/>
    <n v="412000"/>
    <n v="68666.67"/>
    <m/>
  </r>
  <r>
    <n v="1103"/>
    <x v="16"/>
    <x v="0"/>
    <s v="1264"/>
    <s v="16.05.2025"/>
    <s v="16.05.2025"/>
    <x v="124"/>
    <s v="504201001"/>
    <x v="124"/>
    <n v="7089.44"/>
    <n v="1181.57"/>
    <m/>
  </r>
  <r>
    <n v="1104"/>
    <x v="16"/>
    <x v="0"/>
    <s v="В5164"/>
    <s v="16.05.2025"/>
    <s v="16.05.2025"/>
    <x v="75"/>
    <s v="770101001"/>
    <x v="75"/>
    <n v="1864020"/>
    <n v="310670"/>
    <m/>
  </r>
  <r>
    <n v="1105"/>
    <x v="16"/>
    <x v="0"/>
    <s v="374"/>
    <s v="16.05.2025"/>
    <s v="16.05.2025"/>
    <x v="187"/>
    <s v="770401001"/>
    <x v="187"/>
    <n v="1864020"/>
    <n v="310670"/>
    <m/>
  </r>
  <r>
    <n v="1106"/>
    <x v="16"/>
    <x v="0"/>
    <s v="1605003"/>
    <s v="16.05.2025"/>
    <s v="16.05.2025"/>
    <x v="185"/>
    <s v="772101001"/>
    <x v="185"/>
    <n v="1490982"/>
    <n v="248497"/>
    <m/>
  </r>
  <r>
    <n v="1107"/>
    <x v="16"/>
    <x v="0"/>
    <s v="125"/>
    <s v="17.05.2025"/>
    <s v="17.05.2025"/>
    <x v="188"/>
    <s v="330001001"/>
    <x v="188"/>
    <n v="29650"/>
    <n v="4941.67"/>
    <m/>
  </r>
  <r>
    <n v="1108"/>
    <x v="16"/>
    <x v="0"/>
    <s v="В5172"/>
    <s v="17.05.2025"/>
    <s v="17.05.2025"/>
    <x v="75"/>
    <s v="770101001"/>
    <x v="75"/>
    <n v="1780000"/>
    <n v="296666.67"/>
    <m/>
  </r>
  <r>
    <n v="1109"/>
    <x v="16"/>
    <x v="1"/>
    <s v="А36"/>
    <s v="28.04.2025"/>
    <s v=""/>
    <x v="3"/>
    <s v="504201001"/>
    <x v="3"/>
    <n v="1840000"/>
    <n v="306666.67"/>
    <m/>
  </r>
  <r>
    <n v="1110"/>
    <x v="16"/>
    <x v="0"/>
    <s v="3937333-МСК"/>
    <s v="20.05.2025"/>
    <s v="20.05.2025"/>
    <x v="9"/>
    <s v="997750001"/>
    <x v="9"/>
    <n v="3800"/>
    <n v="633.33"/>
    <m/>
  </r>
  <r>
    <n v="1111"/>
    <x v="16"/>
    <x v="0"/>
    <s v="3937331-МСК"/>
    <s v="20.05.2025"/>
    <s v="20.05.2025"/>
    <x v="9"/>
    <s v="997750001"/>
    <x v="9"/>
    <n v="8364"/>
    <n v="1394"/>
    <m/>
  </r>
  <r>
    <n v="1112"/>
    <x v="16"/>
    <x v="1"/>
    <s v="А39"/>
    <s v="16.05.2025"/>
    <s v=""/>
    <x v="3"/>
    <s v="504201001"/>
    <x v="3"/>
    <n v="444000"/>
    <n v="74000"/>
    <m/>
  </r>
  <r>
    <n v="1113"/>
    <x v="16"/>
    <x v="0"/>
    <s v="148"/>
    <s v="22.05.2025"/>
    <s v="22.05.2025"/>
    <x v="141"/>
    <s v="370201001"/>
    <x v="141"/>
    <n v="221136"/>
    <n v="36856"/>
    <m/>
  </r>
  <r>
    <n v="1114"/>
    <x v="16"/>
    <x v="0"/>
    <s v="149"/>
    <s v="22.05.2025"/>
    <s v="22.05.2025"/>
    <x v="141"/>
    <s v="370201001"/>
    <x v="141"/>
    <n v="72432"/>
    <n v="12072"/>
    <m/>
  </r>
  <r>
    <n v="1115"/>
    <x v="16"/>
    <x v="0"/>
    <s v="В5223"/>
    <s v="22.05.2025"/>
    <s v="22.05.2025"/>
    <x v="75"/>
    <s v="770101001"/>
    <x v="75"/>
    <n v="276000"/>
    <n v="46000"/>
    <m/>
  </r>
  <r>
    <n v="1116"/>
    <x v="16"/>
    <x v="0"/>
    <s v="В5222"/>
    <s v="22.05.2025"/>
    <s v="22.05.2025"/>
    <x v="75"/>
    <s v="770101001"/>
    <x v="75"/>
    <n v="184000"/>
    <n v="30666.67"/>
    <m/>
  </r>
  <r>
    <n v="1117"/>
    <x v="16"/>
    <x v="1"/>
    <s v="А40"/>
    <s v="16.05.2025"/>
    <s v=""/>
    <x v="3"/>
    <s v="504201001"/>
    <x v="3"/>
    <n v="1820000"/>
    <n v="303333.33"/>
    <m/>
  </r>
  <r>
    <n v="1118"/>
    <x v="16"/>
    <x v="1"/>
    <s v="А43"/>
    <s v="23.05.2025"/>
    <s v=""/>
    <x v="3"/>
    <s v="504201001"/>
    <x v="3"/>
    <n v="465000"/>
    <n v="77500"/>
    <m/>
  </r>
  <r>
    <n v="1119"/>
    <x v="16"/>
    <x v="0"/>
    <s v="В5263"/>
    <s v="26.05.2025"/>
    <s v="26.05.2025"/>
    <x v="75"/>
    <s v="770101001"/>
    <x v="75"/>
    <n v="282000"/>
    <n v="47000"/>
    <m/>
  </r>
  <r>
    <n v="1120"/>
    <x v="16"/>
    <x v="0"/>
    <s v="00000226"/>
    <s v="26.05.2025"/>
    <s v="26.05.2025"/>
    <x v="189"/>
    <s v="330101001"/>
    <x v="189"/>
    <n v="24430"/>
    <n v="4071.66"/>
    <m/>
  </r>
  <r>
    <n v="1121"/>
    <x v="16"/>
    <x v="0"/>
    <s v="00000227"/>
    <s v="26.05.2025"/>
    <s v="26.05.2025"/>
    <x v="189"/>
    <s v="330101001"/>
    <x v="189"/>
    <n v="1134"/>
    <n v="189"/>
    <m/>
  </r>
  <r>
    <n v="1122"/>
    <x v="16"/>
    <x v="1"/>
    <s v="А41"/>
    <s v="21.05.2025"/>
    <s v=""/>
    <x v="3"/>
    <s v="504201001"/>
    <x v="3"/>
    <n v="697000"/>
    <n v="116166.67"/>
    <m/>
  </r>
  <r>
    <n v="1123"/>
    <x v="16"/>
    <x v="1"/>
    <s v="А44"/>
    <s v="27.05.2025"/>
    <s v=""/>
    <x v="3"/>
    <s v="504201001"/>
    <x v="3"/>
    <n v="306000"/>
    <n v="51000"/>
    <m/>
  </r>
  <r>
    <n v="1124"/>
    <x v="16"/>
    <x v="0"/>
    <s v="4595"/>
    <s v="29.05.2025"/>
    <s v="29.05.2025"/>
    <x v="159"/>
    <s v="771901001"/>
    <x v="159"/>
    <n v="32600"/>
    <n v="5433.33"/>
    <m/>
  </r>
  <r>
    <n v="1125"/>
    <x v="16"/>
    <x v="0"/>
    <s v="УТ-1407"/>
    <s v="30.05.2025"/>
    <s v="30.05.2025"/>
    <x v="122"/>
    <s v="132601001"/>
    <x v="122"/>
    <n v="19039.16"/>
    <n v="3173.2"/>
    <m/>
  </r>
  <r>
    <n v="1126"/>
    <x v="16"/>
    <x v="0"/>
    <s v="В5303"/>
    <s v="30.05.2025"/>
    <s v="30.05.2025"/>
    <x v="75"/>
    <s v="770101001"/>
    <x v="75"/>
    <n v="352000"/>
    <n v="58666.67"/>
    <m/>
  </r>
  <r>
    <n v="1127"/>
    <x v="16"/>
    <x v="0"/>
    <s v="2975"/>
    <s v="31.05.2025"/>
    <s v="31.05.2025"/>
    <x v="134"/>
    <s v="645201001"/>
    <x v="134"/>
    <n v="0"/>
    <n v="15806.33"/>
    <m/>
  </r>
  <r>
    <n v="1128"/>
    <x v="16"/>
    <x v="0"/>
    <s v="05-884167"/>
    <s v="31.05.2025"/>
    <s v="31.05.2025"/>
    <x v="142"/>
    <s v="771001001"/>
    <x v="142"/>
    <n v="162"/>
    <n v="27"/>
    <m/>
  </r>
  <r>
    <n v="1129"/>
    <x v="16"/>
    <x v="0"/>
    <s v="05-884229"/>
    <s v="31.05.2025"/>
    <s v="31.05.2025"/>
    <x v="142"/>
    <s v="771001001"/>
    <x v="142"/>
    <n v="85.62"/>
    <n v="14.27"/>
    <m/>
  </r>
  <r>
    <n v="1130"/>
    <x v="16"/>
    <x v="0"/>
    <s v="05-1163513"/>
    <s v="31.05.2025"/>
    <s v="31.05.2025"/>
    <x v="142"/>
    <s v="771001001"/>
    <x v="142"/>
    <n v="1440"/>
    <n v="240"/>
    <m/>
  </r>
  <r>
    <n v="1131"/>
    <x v="16"/>
    <x v="0"/>
    <s v="1161697/0287"/>
    <s v="03.06.2025"/>
    <s v="03.06.2025"/>
    <x v="40"/>
    <s v="781001001"/>
    <x v="40"/>
    <n v="1536"/>
    <n v="221.33"/>
    <m/>
  </r>
  <r>
    <n v="1132"/>
    <x v="16"/>
    <x v="0"/>
    <s v="5028867/0287"/>
    <s v="03.06.2025"/>
    <s v="03.06.2025"/>
    <x v="40"/>
    <s v="781001001"/>
    <x v="40"/>
    <n v="279"/>
    <n v="41.5"/>
    <m/>
  </r>
  <r>
    <n v="1133"/>
    <x v="16"/>
    <x v="0"/>
    <s v="4383190-МСК"/>
    <s v="03.06.2025"/>
    <s v="03.06.2025"/>
    <x v="9"/>
    <s v="997750001"/>
    <x v="9"/>
    <n v="518"/>
    <n v="86.33"/>
    <m/>
  </r>
  <r>
    <n v="1134"/>
    <x v="16"/>
    <x v="0"/>
    <s v="4383187-МСК"/>
    <s v="03.06.2025"/>
    <s v="03.06.2025"/>
    <x v="9"/>
    <s v="997750001"/>
    <x v="9"/>
    <n v="648"/>
    <n v="108"/>
    <m/>
  </r>
  <r>
    <n v="1135"/>
    <x v="16"/>
    <x v="0"/>
    <s v="4383189-МСК"/>
    <s v="03.06.2025"/>
    <s v="03.06.2025"/>
    <x v="9"/>
    <s v="997750001"/>
    <x v="9"/>
    <n v="1976"/>
    <n v="329.33"/>
    <m/>
  </r>
  <r>
    <n v="1136"/>
    <x v="16"/>
    <x v="1"/>
    <s v="А45"/>
    <s v="30.05.2025"/>
    <s v=""/>
    <x v="3"/>
    <s v="504201001"/>
    <x v="3"/>
    <n v="525000"/>
    <n v="70000"/>
    <m/>
  </r>
  <r>
    <n v="1137"/>
    <x v="16"/>
    <x v="0"/>
    <s v="В6044"/>
    <s v="04.06.2025"/>
    <s v="04.06.2025"/>
    <x v="75"/>
    <s v="770101001"/>
    <x v="75"/>
    <n v="1864945"/>
    <n v="310824.17"/>
    <m/>
  </r>
  <r>
    <n v="1138"/>
    <x v="16"/>
    <x v="0"/>
    <s v="4415385-МСК"/>
    <s v="04.06.2025"/>
    <s v="04.06.2025"/>
    <x v="9"/>
    <s v="997750001"/>
    <x v="9"/>
    <n v="4000"/>
    <n v="666.67"/>
    <m/>
  </r>
  <r>
    <n v="1139"/>
    <x v="16"/>
    <x v="0"/>
    <s v="506001"/>
    <s v="05.06.2025"/>
    <s v="05.06.2025"/>
    <x v="185"/>
    <s v="772101001"/>
    <x v="185"/>
    <n v="2066307.01"/>
    <n v="344384.5"/>
    <m/>
  </r>
  <r>
    <n v="1140"/>
    <x v="16"/>
    <x v="1"/>
    <s v="А46"/>
    <s v="05.06.2025"/>
    <s v=""/>
    <x v="3"/>
    <s v="504201001"/>
    <x v="3"/>
    <n v="408000"/>
    <n v="68000"/>
    <m/>
  </r>
  <r>
    <n v="1141"/>
    <x v="16"/>
    <x v="1"/>
    <s v="А48"/>
    <s v="06.06.2025"/>
    <s v=""/>
    <x v="3"/>
    <s v="504201001"/>
    <x v="3"/>
    <n v="200000"/>
    <n v="33333.33"/>
    <m/>
  </r>
  <r>
    <n v="1142"/>
    <x v="16"/>
    <x v="0"/>
    <s v="56195/4613"/>
    <s v="09.06.2025"/>
    <s v="09.06.2025"/>
    <x v="111"/>
    <s v="997750001"/>
    <x v="111"/>
    <n v="2205"/>
    <n v="367.5"/>
    <m/>
  </r>
  <r>
    <n v="1143"/>
    <x v="16"/>
    <x v="0"/>
    <s v="532060/131"/>
    <s v="09.06.2025"/>
    <s v="09.06.2025"/>
    <x v="111"/>
    <s v="997750001"/>
    <x v="111"/>
    <n v="6695"/>
    <n v="318.82"/>
    <m/>
  </r>
  <r>
    <n v="1144"/>
    <x v="16"/>
    <x v="0"/>
    <s v="56195/4614"/>
    <s v="09.06.2025"/>
    <s v="09.06.2025"/>
    <x v="111"/>
    <s v="997750001"/>
    <x v="111"/>
    <n v="1165"/>
    <n v="194.17"/>
    <m/>
  </r>
  <r>
    <n v="1145"/>
    <x v="16"/>
    <x v="0"/>
    <s v="56195/4612"/>
    <s v="09.06.2025"/>
    <s v="09.06.2025"/>
    <x v="111"/>
    <s v="997750001"/>
    <x v="111"/>
    <n v="2716"/>
    <n v="452.66"/>
    <m/>
  </r>
  <r>
    <n v="1146"/>
    <x v="16"/>
    <x v="0"/>
    <s v="56195/4719"/>
    <s v="11.06.2025"/>
    <s v="11.06.2025"/>
    <x v="111"/>
    <s v="997750001"/>
    <x v="111"/>
    <n v="2330"/>
    <n v="388.34"/>
    <m/>
  </r>
  <r>
    <n v="1147"/>
    <x v="16"/>
    <x v="0"/>
    <s v="147"/>
    <s v="11.06.2025"/>
    <s v="11.06.2025"/>
    <x v="190"/>
    <s v="370501001"/>
    <x v="190"/>
    <n v="270912"/>
    <n v="45152"/>
    <m/>
  </r>
  <r>
    <n v="1148"/>
    <x v="16"/>
    <x v="0"/>
    <s v="В6162"/>
    <s v="16.06.2025"/>
    <s v="16.06.2025"/>
    <x v="75"/>
    <s v="770101001"/>
    <x v="75"/>
    <n v="1814085"/>
    <n v="302347.5"/>
    <m/>
  </r>
  <r>
    <n v="1149"/>
    <x v="16"/>
    <x v="1"/>
    <s v="А42"/>
    <s v="23.05.2025"/>
    <s v=""/>
    <x v="3"/>
    <s v="504201001"/>
    <x v="3"/>
    <n v="398776"/>
    <n v="66462.67"/>
    <m/>
  </r>
  <r>
    <n v="1150"/>
    <x v="16"/>
    <x v="1"/>
    <s v="А47"/>
    <s v="05.06.2025"/>
    <s v=""/>
    <x v="3"/>
    <s v="504201001"/>
    <x v="3"/>
    <n v="500000"/>
    <n v="78002.16"/>
    <m/>
  </r>
  <r>
    <n v="1151"/>
    <x v="16"/>
    <x v="1"/>
    <s v="А51"/>
    <s v="17.06.2025"/>
    <s v=""/>
    <x v="3"/>
    <s v="504201001"/>
    <x v="3"/>
    <n v="408000"/>
    <n v="68000"/>
    <m/>
  </r>
  <r>
    <n v="1152"/>
    <x v="16"/>
    <x v="1"/>
    <s v="А52"/>
    <s v="17.06.2025"/>
    <s v=""/>
    <x v="3"/>
    <s v="504201001"/>
    <x v="3"/>
    <n v="564000"/>
    <n v="94000"/>
    <m/>
  </r>
  <r>
    <n v="1153"/>
    <x v="16"/>
    <x v="0"/>
    <s v="1906005472-МСК"/>
    <s v="19.06.2025"/>
    <s v="19.06.2025"/>
    <x v="9"/>
    <s v="997750001"/>
    <x v="9"/>
    <n v="478"/>
    <n v="79.67"/>
    <m/>
  </r>
  <r>
    <n v="1154"/>
    <x v="16"/>
    <x v="0"/>
    <s v="1906005473-МСК"/>
    <s v="19.06.2025"/>
    <s v="19.06.2025"/>
    <x v="9"/>
    <s v="997750001"/>
    <x v="9"/>
    <n v="2486"/>
    <n v="414.34"/>
    <m/>
  </r>
  <r>
    <n v="1155"/>
    <x v="16"/>
    <x v="0"/>
    <s v="1520"/>
    <s v="20.06.2025"/>
    <s v="20.06.2025"/>
    <x v="191"/>
    <s v="772201001"/>
    <x v="191"/>
    <n v="22000"/>
    <n v="3666.67"/>
    <m/>
  </r>
  <r>
    <n v="1156"/>
    <x v="16"/>
    <x v="0"/>
    <s v="В6202"/>
    <s v="20.06.2025"/>
    <s v="20.06.2025"/>
    <x v="75"/>
    <s v="770101001"/>
    <x v="75"/>
    <n v="131600"/>
    <n v="21933.33"/>
    <m/>
  </r>
  <r>
    <n v="1157"/>
    <x v="16"/>
    <x v="1"/>
    <s v="А49"/>
    <s v="10.06.2025"/>
    <s v=""/>
    <x v="3"/>
    <s v="504201001"/>
    <x v="3"/>
    <n v="150460"/>
    <n v="25076.67"/>
    <m/>
  </r>
  <r>
    <n v="1158"/>
    <x v="16"/>
    <x v="0"/>
    <s v="В6232"/>
    <s v="23.06.2025"/>
    <s v="23.06.2025"/>
    <x v="75"/>
    <s v="770101001"/>
    <x v="75"/>
    <n v="132120"/>
    <n v="22020"/>
    <m/>
  </r>
  <r>
    <n v="1159"/>
    <x v="16"/>
    <x v="1"/>
    <s v="А50"/>
    <s v="11.06.2025"/>
    <s v=""/>
    <x v="3"/>
    <s v="504201001"/>
    <x v="3"/>
    <n v="408000"/>
    <n v="68000"/>
    <m/>
  </r>
  <r>
    <n v="1160"/>
    <x v="16"/>
    <x v="1"/>
    <s v="А53"/>
    <s v="19.06.2025"/>
    <s v=""/>
    <x v="3"/>
    <s v="504201001"/>
    <x v="3"/>
    <n v="140000"/>
    <n v="23333.33"/>
    <m/>
  </r>
  <r>
    <n v="1161"/>
    <x v="16"/>
    <x v="1"/>
    <s v="А55"/>
    <s v="23.06.2025"/>
    <s v=""/>
    <x v="3"/>
    <s v="504201001"/>
    <x v="3"/>
    <n v="232750"/>
    <n v="38791.67"/>
    <m/>
  </r>
  <r>
    <n v="1162"/>
    <x v="16"/>
    <x v="0"/>
    <s v="21466300000001"/>
    <s v="26.06.2025"/>
    <s v="26.06.2025"/>
    <x v="5"/>
    <s v="780201001"/>
    <x v="5"/>
    <n v="690"/>
    <n v="115"/>
    <m/>
  </r>
  <r>
    <n v="1163"/>
    <x v="16"/>
    <x v="1"/>
    <s v="А57"/>
    <s v="26.06.2025"/>
    <s v=""/>
    <x v="3"/>
    <s v="504201001"/>
    <x v="3"/>
    <n v="238000"/>
    <n v="39666.67"/>
    <m/>
  </r>
  <r>
    <n v="1164"/>
    <x v="16"/>
    <x v="0"/>
    <s v="06-902606"/>
    <s v="30.06.2025"/>
    <s v="30.06.2025"/>
    <x v="142"/>
    <s v="771001001"/>
    <x v="142"/>
    <n v="965.69"/>
    <n v="160.95"/>
    <m/>
  </r>
  <r>
    <n v="1165"/>
    <x v="16"/>
    <x v="0"/>
    <s v="3006001"/>
    <s v="30.06.2025"/>
    <s v="30.06.2025"/>
    <x v="185"/>
    <s v="772101001"/>
    <x v="185"/>
    <n v="1778644.3"/>
    <n v="296440.72"/>
    <m/>
  </r>
  <r>
    <n v="1166"/>
    <x v="16"/>
    <x v="0"/>
    <s v="3652"/>
    <s v="30.06.2025"/>
    <s v="30.06.2025"/>
    <x v="134"/>
    <s v="645201001"/>
    <x v="134"/>
    <n v="94838"/>
    <n v="15806.33"/>
    <m/>
  </r>
  <r>
    <n v="1167"/>
    <x v="17"/>
    <x v="0"/>
    <s v="В7041"/>
    <s v="04.07.2025"/>
    <s v="04.07.2025"/>
    <x v="75"/>
    <s v="770101001"/>
    <x v="75"/>
    <n v="464130"/>
    <n v="77355"/>
    <m/>
  </r>
  <r>
    <n v="1168"/>
    <x v="17"/>
    <x v="0"/>
    <s v="22313/947"/>
    <s v="07.07.2025"/>
    <s v="07.07.2025"/>
    <x v="111"/>
    <s v="997750001"/>
    <x v="111"/>
    <n v="1726"/>
    <n v="287.67"/>
    <m/>
  </r>
  <r>
    <n v="1169"/>
    <x v="17"/>
    <x v="0"/>
    <s v="2489131/102"/>
    <s v="07.07.2025"/>
    <s v="07.07.2025"/>
    <x v="111"/>
    <s v="997750001"/>
    <x v="111"/>
    <n v="103"/>
    <n v="17.17"/>
    <m/>
  </r>
  <r>
    <n v="1170"/>
    <x v="17"/>
    <x v="0"/>
    <s v="106"/>
    <s v="07.07.2025"/>
    <s v="07.07.2025"/>
    <x v="192"/>
    <s v="732101001"/>
    <x v="192"/>
    <n v="404800"/>
    <n v="67466.67"/>
    <m/>
  </r>
  <r>
    <n v="1171"/>
    <x v="17"/>
    <x v="0"/>
    <s v="В7142"/>
    <s v="14.07.2025"/>
    <s v="14.07.2025"/>
    <x v="75"/>
    <s v="770101001"/>
    <x v="75"/>
    <n v="870000"/>
    <n v="145000"/>
    <m/>
  </r>
  <r>
    <n v="1172"/>
    <x v="17"/>
    <x v="0"/>
    <s v="38999701"/>
    <s v="16.07.2025"/>
    <s v="16.07.2025"/>
    <x v="111"/>
    <s v="997750001"/>
    <x v="111"/>
    <n v="2162"/>
    <n v="360.33"/>
    <m/>
  </r>
  <r>
    <n v="1173"/>
    <x v="17"/>
    <x v="0"/>
    <s v="111335"/>
    <s v="18.07.2025"/>
    <s v="18.07.2025"/>
    <x v="65"/>
    <s v="502701001"/>
    <x v="65"/>
    <n v="2414"/>
    <n v="402.33"/>
    <m/>
  </r>
  <r>
    <n v="1174"/>
    <x v="17"/>
    <x v="0"/>
    <s v="В7212"/>
    <s v="21.07.2025"/>
    <s v="21.07.2025"/>
    <x v="75"/>
    <s v="770101001"/>
    <x v="75"/>
    <n v="1440000"/>
    <n v="240000"/>
    <m/>
  </r>
  <r>
    <n v="1175"/>
    <x v="17"/>
    <x v="0"/>
    <s v="13333"/>
    <s v="24.07.2025"/>
    <s v="24.07.2025"/>
    <x v="10"/>
    <s v="027301001"/>
    <x v="10"/>
    <n v="255240"/>
    <n v="42540"/>
    <m/>
  </r>
  <r>
    <n v="1176"/>
    <x v="17"/>
    <x v="0"/>
    <s v="В7301"/>
    <s v="30.07.2025"/>
    <s v="30.07.2025"/>
    <x v="75"/>
    <s v="770101001"/>
    <x v="75"/>
    <n v="830000"/>
    <n v="138333.33"/>
    <m/>
  </r>
  <r>
    <n v="1177"/>
    <x v="17"/>
    <x v="0"/>
    <s v="4338"/>
    <s v="31.07.2025"/>
    <s v="31.07.2025"/>
    <x v="134"/>
    <s v="645201001"/>
    <x v="134"/>
    <n v="0"/>
    <n v="15806.33"/>
    <m/>
  </r>
  <r>
    <n v="1178"/>
    <x v="17"/>
    <x v="0"/>
    <s v="В8021"/>
    <s v="02.08.2025"/>
    <s v="02.08.2025"/>
    <x v="75"/>
    <s v="770101001"/>
    <x v="75"/>
    <n v="1892800"/>
    <n v="315466.66"/>
    <m/>
  </r>
  <r>
    <n v="1179"/>
    <x v="17"/>
    <x v="0"/>
    <s v="В8031"/>
    <s v="03.08.2025"/>
    <s v="03.08.2025"/>
    <x v="75"/>
    <s v="770101001"/>
    <x v="75"/>
    <n v="1780000"/>
    <n v="296666.67"/>
    <m/>
  </r>
  <r>
    <n v="1180"/>
    <x v="17"/>
    <x v="0"/>
    <s v="В8052"/>
    <s v="05.08.2025"/>
    <s v="05.08.2025"/>
    <x v="75"/>
    <s v="770101001"/>
    <x v="75"/>
    <n v="300000"/>
    <n v="50000"/>
    <m/>
  </r>
  <r>
    <n v="1181"/>
    <x v="17"/>
    <x v="0"/>
    <s v="85"/>
    <s v="05.08.2025"/>
    <s v="05.08.2025"/>
    <x v="193"/>
    <s v="631601001"/>
    <x v="193"/>
    <n v="418000"/>
    <n v="69666.67"/>
    <m/>
  </r>
  <r>
    <n v="1182"/>
    <x v="17"/>
    <x v="0"/>
    <s v="В8062"/>
    <s v="06.08.2025"/>
    <s v="06.08.2025"/>
    <x v="75"/>
    <s v="770101001"/>
    <x v="75"/>
    <n v="425000"/>
    <n v="70833.33"/>
    <m/>
  </r>
  <r>
    <n v="1183"/>
    <x v="17"/>
    <x v="0"/>
    <s v="В8081"/>
    <s v="08.08.2025"/>
    <s v="08.08.2025"/>
    <x v="75"/>
    <s v="770101001"/>
    <x v="75"/>
    <n v="840000"/>
    <n v="140000"/>
    <m/>
  </r>
  <r>
    <n v="1184"/>
    <x v="17"/>
    <x v="0"/>
    <s v="В8191"/>
    <s v="19.08.2025"/>
    <s v="19.08.2025"/>
    <x v="75"/>
    <s v="770101001"/>
    <x v="75"/>
    <n v="495000"/>
    <n v="82500"/>
    <m/>
  </r>
  <r>
    <n v="1185"/>
    <x v="17"/>
    <x v="0"/>
    <s v="В8212"/>
    <s v="21.08.2025"/>
    <s v="21.08.2025"/>
    <x v="75"/>
    <s v="770101001"/>
    <x v="75"/>
    <n v="1580000"/>
    <n v="263333.33"/>
    <m/>
  </r>
  <r>
    <n v="1186"/>
    <x v="17"/>
    <x v="0"/>
    <s v="В8241"/>
    <s v="24.08.2025"/>
    <s v="24.08.2025"/>
    <x v="75"/>
    <s v="770101001"/>
    <x v="75"/>
    <n v="1720000"/>
    <n v="286666.67"/>
    <m/>
  </r>
  <r>
    <n v="1187"/>
    <x v="17"/>
    <x v="0"/>
    <s v="В8251"/>
    <s v="25.08.2025"/>
    <s v="25.08.2025"/>
    <x v="75"/>
    <s v="770101001"/>
    <x v="75"/>
    <n v="1740000"/>
    <n v="290000"/>
    <m/>
  </r>
  <r>
    <n v="1188"/>
    <x v="17"/>
    <x v="0"/>
    <s v="В8291"/>
    <s v="29.08.2025"/>
    <s v="29.08.2025"/>
    <x v="75"/>
    <s v="770101001"/>
    <x v="75"/>
    <n v="1600000"/>
    <n v="266666.67"/>
    <m/>
  </r>
  <r>
    <n v="1189"/>
    <x v="17"/>
    <x v="0"/>
    <s v="1015709/0273"/>
    <s v="01.09.2025"/>
    <s v="01.09.2025"/>
    <x v="40"/>
    <s v="781001001"/>
    <x v="40"/>
    <n v="13358"/>
    <n v="2063.17"/>
    <m/>
  </r>
  <r>
    <n v="1190"/>
    <x v="17"/>
    <x v="0"/>
    <s v="В9152"/>
    <s v="15.09.2025"/>
    <s v="15.09.2025"/>
    <x v="75"/>
    <s v="770101001"/>
    <x v="75"/>
    <n v="1641780"/>
    <n v="273630"/>
    <m/>
  </r>
  <r>
    <n v="1191"/>
    <x v="17"/>
    <x v="0"/>
    <s v="В9162"/>
    <s v="16.09.2025"/>
    <s v="16.09.2025"/>
    <x v="75"/>
    <s v="770101001"/>
    <x v="75"/>
    <n v="198000"/>
    <n v="33000"/>
    <m/>
  </r>
  <r>
    <n v="1192"/>
    <x v="17"/>
    <x v="0"/>
    <s v="В9252"/>
    <s v="25.09.2025"/>
    <s v="25.09.2025"/>
    <x v="75"/>
    <s v="770101001"/>
    <x v="75"/>
    <n v="396000"/>
    <n v="66000"/>
    <m/>
  </r>
  <r>
    <n v="1193"/>
    <x v="17"/>
    <x v="0"/>
    <s v="В9262"/>
    <s v="26.09.2025"/>
    <s v="26.09.2025"/>
    <x v="75"/>
    <s v="770101001"/>
    <x v="75"/>
    <n v="880000"/>
    <n v="146666.67"/>
    <m/>
  </r>
  <r>
    <n v="1194"/>
    <x v="17"/>
    <x v="0"/>
    <s v="В9292"/>
    <s v="29.09.2025"/>
    <s v="29.09.2025"/>
    <x v="75"/>
    <s v="770101001"/>
    <x v="75"/>
    <n v="800000"/>
    <n v="133333.33"/>
    <m/>
  </r>
  <r>
    <n v="1195"/>
    <x v="18"/>
    <x v="1"/>
    <s v="А54"/>
    <s v="25.06.2025"/>
    <s v=""/>
    <x v="3"/>
    <s v="504201001"/>
    <x v="3"/>
    <n v="408000"/>
    <n v="68000"/>
    <m/>
  </r>
  <r>
    <n v="1196"/>
    <x v="18"/>
    <x v="3"/>
    <s v="54"/>
    <s v="29.05.2025"/>
    <s v="14.07.2025"/>
    <x v="3"/>
    <s v="504201001"/>
    <x v="3"/>
    <n v="194250"/>
    <n v="32375"/>
    <m/>
  </r>
  <r>
    <n v="1197"/>
    <x v="18"/>
    <x v="1"/>
    <s v="А45"/>
    <s v="30.05.2025"/>
    <s v=""/>
    <x v="3"/>
    <s v="504201001"/>
    <x v="3"/>
    <n v="525000"/>
    <n v="17500"/>
    <m/>
  </r>
  <r>
    <n v="1198"/>
    <x v="18"/>
    <x v="1"/>
    <s v="А47"/>
    <s v="05.06.2025"/>
    <s v=""/>
    <x v="3"/>
    <s v="504201001"/>
    <x v="3"/>
    <n v="500000"/>
    <n v="5331.17"/>
    <m/>
  </r>
  <r>
    <n v="1199"/>
    <x v="18"/>
    <x v="0"/>
    <s v="В10021"/>
    <s v="02.10.2025"/>
    <s v="02.10.2025"/>
    <x v="75"/>
    <s v="770101001"/>
    <x v="75"/>
    <n v="1248000"/>
    <n v="208000"/>
    <m/>
  </r>
  <r>
    <n v="1200"/>
    <x v="18"/>
    <x v="1"/>
    <s v="1853"/>
    <s v="10.10.2025"/>
    <s v=""/>
    <x v="3"/>
    <s v="504201001"/>
    <x v="3"/>
    <n v="475000"/>
    <n v="79166.6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_x000a_таблица1" cacheId="0" applyNumberFormats="0" applyBorderFormats="0" applyFontFormats="0" applyPatternFormats="0" applyAlignmentFormats="0" applyWidthHeightFormats="1" dataCaption="Значения" updatedVersion="5" minRefreshableVersion="3" createdVersion="5" indent="0" compact="0" outline="1" outlineData="1" compactData="0" multipleFieldFilters="0">
  <location ref="A4:D137" firstHeaderRow="0" firstDataRow="1" firstDataCol="2" rowPageCount="2" colPageCount="1"/>
  <pivotFields count="11">
    <pivotField compact="0" showAll="0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axis="axisPage" compact="0" multipleItemSelectionAllowed="1" showAll="0">
      <items count="20">
        <item x="3"/>
        <item x="7"/>
        <item x="11"/>
        <item x="15"/>
        <item x="0"/>
        <item x="4"/>
        <item x="8"/>
        <item x="12"/>
        <item x="16"/>
        <item x="1"/>
        <item x="5"/>
        <item x="9"/>
        <item x="13"/>
        <item x="17"/>
        <item x="2"/>
        <item x="6"/>
        <item x="10"/>
        <item x="14"/>
        <item x="18"/>
        <item t="default"/>
      </items>
    </pivotField>
    <pivotField axis="axisPage" compact="0" multipleItemSelectionAllowed="1" showAll="0">
      <items count="4">
        <item x="0"/>
        <item h="1" x="1"/>
        <item h="1" x="2"/>
        <item t="default"/>
      </items>
    </pivotField>
    <pivotField compact="0" showAll="0"/>
    <pivotField compact="0" showAll="0"/>
    <pivotField axis="axisRow" compact="0" showAll="0" sortType="descending">
      <items count="72">
        <item x="44"/>
        <item x="65"/>
        <item x="69"/>
        <item x="66"/>
        <item x="6"/>
        <item x="11"/>
        <item x="0"/>
        <item x="68"/>
        <item x="15"/>
        <item x="64"/>
        <item x="56"/>
        <item x="48"/>
        <item x="24"/>
        <item x="2"/>
        <item x="32"/>
        <item x="67"/>
        <item x="22"/>
        <item x="30"/>
        <item x="47"/>
        <item x="59"/>
        <item x="40"/>
        <item x="28"/>
        <item x="1"/>
        <item x="58"/>
        <item x="49"/>
        <item x="23"/>
        <item x="34"/>
        <item x="27"/>
        <item x="41"/>
        <item x="38"/>
        <item x="16"/>
        <item x="57"/>
        <item x="62"/>
        <item x="70"/>
        <item x="26"/>
        <item x="14"/>
        <item x="10"/>
        <item x="19"/>
        <item x="17"/>
        <item x="51"/>
        <item x="21"/>
        <item x="42"/>
        <item x="9"/>
        <item x="63"/>
        <item x="39"/>
        <item x="20"/>
        <item x="33"/>
        <item x="45"/>
        <item x="54"/>
        <item x="60"/>
        <item x="3"/>
        <item x="36"/>
        <item x="25"/>
        <item x="53"/>
        <item x="31"/>
        <item x="35"/>
        <item x="18"/>
        <item x="37"/>
        <item x="5"/>
        <item x="55"/>
        <item x="12"/>
        <item x="61"/>
        <item x="50"/>
        <item x="43"/>
        <item x="13"/>
        <item x="7"/>
        <item x="46"/>
        <item x="52"/>
        <item x="4"/>
        <item x="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axis="axisRow" compact="0" showAll="0">
      <items count="72">
        <item x="44"/>
        <item x="26"/>
        <item x="25"/>
        <item x="30"/>
        <item x="48"/>
        <item x="7"/>
        <item x="17"/>
        <item x="66"/>
        <item x="64"/>
        <item x="11"/>
        <item x="20"/>
        <item x="42"/>
        <item x="2"/>
        <item x="32"/>
        <item x="50"/>
        <item x="31"/>
        <item x="24"/>
        <item x="3"/>
        <item x="10"/>
        <item x="21"/>
        <item x="23"/>
        <item x="69"/>
        <item x="6"/>
        <item x="39"/>
        <item x="13"/>
        <item x="46"/>
        <item x="19"/>
        <item x="33"/>
        <item x="51"/>
        <item x="41"/>
        <item x="15"/>
        <item x="59"/>
        <item x="37"/>
        <item x="62"/>
        <item x="54"/>
        <item x="52"/>
        <item x="8"/>
        <item x="4"/>
        <item x="29"/>
        <item x="38"/>
        <item x="1"/>
        <item x="55"/>
        <item x="0"/>
        <item x="36"/>
        <item x="14"/>
        <item x="35"/>
        <item x="45"/>
        <item x="5"/>
        <item x="34"/>
        <item x="67"/>
        <item x="65"/>
        <item x="47"/>
        <item x="56"/>
        <item x="68"/>
        <item x="43"/>
        <item x="57"/>
        <item x="49"/>
        <item x="22"/>
        <item x="27"/>
        <item x="63"/>
        <item x="18"/>
        <item x="40"/>
        <item x="28"/>
        <item x="61"/>
        <item x="53"/>
        <item x="58"/>
        <item x="12"/>
        <item x="16"/>
        <item x="70"/>
        <item x="9"/>
        <item x="60"/>
        <item t="default"/>
      </items>
    </pivotField>
    <pivotField dataField="1" compact="0" numFmtId="165" showAll="0">
      <items count="443">
        <item x="433"/>
        <item x="82"/>
        <item x="211"/>
        <item x="346"/>
        <item x="344"/>
        <item x="94"/>
        <item x="0"/>
        <item x="377"/>
        <item x="357"/>
        <item x="266"/>
        <item x="75"/>
        <item x="353"/>
        <item x="410"/>
        <item x="20"/>
        <item x="84"/>
        <item x="47"/>
        <item x="83"/>
        <item x="330"/>
        <item x="325"/>
        <item x="123"/>
        <item x="100"/>
        <item x="232"/>
        <item x="171"/>
        <item x="322"/>
        <item x="270"/>
        <item x="394"/>
        <item x="279"/>
        <item x="14"/>
        <item x="428"/>
        <item x="233"/>
        <item x="423"/>
        <item x="397"/>
        <item x="61"/>
        <item x="90"/>
        <item x="289"/>
        <item x="27"/>
        <item x="169"/>
        <item x="51"/>
        <item x="93"/>
        <item x="146"/>
        <item x="52"/>
        <item x="200"/>
        <item x="48"/>
        <item x="319"/>
        <item x="2"/>
        <item x="438"/>
        <item x="28"/>
        <item x="432"/>
        <item x="122"/>
        <item x="307"/>
        <item x="103"/>
        <item x="17"/>
        <item x="331"/>
        <item x="23"/>
        <item x="30"/>
        <item x="400"/>
        <item x="407"/>
        <item x="37"/>
        <item x="295"/>
        <item x="205"/>
        <item x="35"/>
        <item x="166"/>
        <item x="158"/>
        <item x="320"/>
        <item x="26"/>
        <item x="107"/>
        <item x="177"/>
        <item x="415"/>
        <item x="421"/>
        <item x="195"/>
        <item x="182"/>
        <item x="309"/>
        <item x="194"/>
        <item x="390"/>
        <item x="354"/>
        <item x="71"/>
        <item x="131"/>
        <item x="67"/>
        <item x="1"/>
        <item x="10"/>
        <item x="34"/>
        <item x="33"/>
        <item x="108"/>
        <item x="399"/>
        <item x="310"/>
        <item x="252"/>
        <item x="416"/>
        <item x="389"/>
        <item x="80"/>
        <item x="54"/>
        <item x="332"/>
        <item x="384"/>
        <item x="18"/>
        <item x="65"/>
        <item x="181"/>
        <item x="278"/>
        <item x="175"/>
        <item x="170"/>
        <item x="187"/>
        <item x="144"/>
        <item x="149"/>
        <item x="97"/>
        <item x="46"/>
        <item x="39"/>
        <item x="3"/>
        <item x="81"/>
        <item x="260"/>
        <item x="112"/>
        <item x="102"/>
        <item x="25"/>
        <item x="361"/>
        <item x="6"/>
        <item x="114"/>
        <item x="77"/>
        <item x="79"/>
        <item x="53"/>
        <item x="36"/>
        <item x="109"/>
        <item x="411"/>
        <item x="31"/>
        <item x="391"/>
        <item x="145"/>
        <item x="189"/>
        <item x="395"/>
        <item x="409"/>
        <item x="78"/>
        <item x="88"/>
        <item x="40"/>
        <item x="225"/>
        <item x="29"/>
        <item x="358"/>
        <item x="106"/>
        <item x="246"/>
        <item x="323"/>
        <item x="327"/>
        <item x="334"/>
        <item x="12"/>
        <item x="396"/>
        <item x="5"/>
        <item x="9"/>
        <item x="110"/>
        <item x="255"/>
        <item x="41"/>
        <item x="420"/>
        <item x="227"/>
        <item x="220"/>
        <item x="378"/>
        <item x="348"/>
        <item x="8"/>
        <item x="206"/>
        <item x="427"/>
        <item x="19"/>
        <item x="392"/>
        <item x="116"/>
        <item x="224"/>
        <item x="440"/>
        <item x="22"/>
        <item x="380"/>
        <item x="406"/>
        <item x="234"/>
        <item x="413"/>
        <item x="167"/>
        <item x="4"/>
        <item x="185"/>
        <item x="111"/>
        <item x="258"/>
        <item x="7"/>
        <item x="38"/>
        <item x="127"/>
        <item x="151"/>
        <item x="129"/>
        <item x="13"/>
        <item x="15"/>
        <item x="213"/>
        <item x="96"/>
        <item x="318"/>
        <item x="299"/>
        <item x="398"/>
        <item x="290"/>
        <item x="375"/>
        <item x="424"/>
        <item x="21"/>
        <item x="119"/>
        <item x="239"/>
        <item x="243"/>
        <item x="277"/>
        <item x="238"/>
        <item x="315"/>
        <item x="381"/>
        <item x="139"/>
        <item x="248"/>
        <item x="242"/>
        <item x="154"/>
        <item x="250"/>
        <item x="236"/>
        <item x="207"/>
        <item x="356"/>
        <item x="202"/>
        <item x="32"/>
        <item x="16"/>
        <item x="355"/>
        <item x="183"/>
        <item x="267"/>
        <item x="312"/>
        <item x="254"/>
        <item x="24"/>
        <item x="282"/>
        <item x="155"/>
        <item x="335"/>
        <item x="376"/>
        <item x="393"/>
        <item x="300"/>
        <item x="156"/>
        <item x="283"/>
        <item x="401"/>
        <item x="280"/>
        <item x="259"/>
        <item x="365"/>
        <item x="140"/>
        <item x="137"/>
        <item x="113"/>
        <item x="339"/>
        <item x="59"/>
        <item x="62"/>
        <item x="417"/>
        <item x="115"/>
        <item x="273"/>
        <item x="95"/>
        <item x="324"/>
        <item x="256"/>
        <item x="368"/>
        <item x="338"/>
        <item x="148"/>
        <item x="199"/>
        <item x="223"/>
        <item x="179"/>
        <item x="159"/>
        <item x="203"/>
        <item x="133"/>
        <item x="385"/>
        <item x="251"/>
        <item x="104"/>
        <item x="293"/>
        <item x="204"/>
        <item x="429"/>
        <item x="402"/>
        <item x="174"/>
        <item x="404"/>
        <item x="11"/>
        <item x="99"/>
        <item x="163"/>
        <item x="118"/>
        <item x="63"/>
        <item x="91"/>
        <item x="281"/>
        <item x="408"/>
        <item x="208"/>
        <item x="198"/>
        <item x="142"/>
        <item x="373"/>
        <item x="276"/>
        <item x="369"/>
        <item x="215"/>
        <item x="176"/>
        <item x="72"/>
        <item x="311"/>
        <item x="436"/>
        <item x="214"/>
        <item x="56"/>
        <item x="101"/>
        <item x="125"/>
        <item x="168"/>
        <item x="85"/>
        <item x="136"/>
        <item x="165"/>
        <item x="326"/>
        <item x="135"/>
        <item x="141"/>
        <item x="120"/>
        <item x="374"/>
        <item x="180"/>
        <item x="388"/>
        <item x="370"/>
        <item x="363"/>
        <item x="138"/>
        <item x="209"/>
        <item x="124"/>
        <item x="216"/>
        <item x="126"/>
        <item x="383"/>
        <item x="196"/>
        <item x="287"/>
        <item x="221"/>
        <item x="152"/>
        <item x="92"/>
        <item x="66"/>
        <item x="257"/>
        <item x="191"/>
        <item x="340"/>
        <item x="188"/>
        <item x="265"/>
        <item x="184"/>
        <item x="229"/>
        <item x="360"/>
        <item x="157"/>
        <item x="172"/>
        <item x="134"/>
        <item x="240"/>
        <item x="247"/>
        <item x="264"/>
        <item x="201"/>
        <item x="173"/>
        <item x="262"/>
        <item x="64"/>
        <item x="245"/>
        <item x="268"/>
        <item x="150"/>
        <item x="313"/>
        <item x="73"/>
        <item x="121"/>
        <item x="274"/>
        <item x="284"/>
        <item x="226"/>
        <item x="217"/>
        <item x="237"/>
        <item x="329"/>
        <item x="143"/>
        <item x="308"/>
        <item x="231"/>
        <item x="60"/>
        <item x="57"/>
        <item x="425"/>
        <item x="130"/>
        <item x="386"/>
        <item x="435"/>
        <item x="74"/>
        <item x="161"/>
        <item x="403"/>
        <item x="431"/>
        <item x="328"/>
        <item x="70"/>
        <item x="379"/>
        <item x="58"/>
        <item x="317"/>
        <item x="69"/>
        <item x="316"/>
        <item x="228"/>
        <item x="42"/>
        <item x="430"/>
        <item x="147"/>
        <item x="333"/>
        <item x="341"/>
        <item x="418"/>
        <item x="314"/>
        <item x="89"/>
        <item x="303"/>
        <item x="297"/>
        <item x="366"/>
        <item x="219"/>
        <item x="218"/>
        <item x="345"/>
        <item x="128"/>
        <item x="162"/>
        <item x="321"/>
        <item x="44"/>
        <item x="45"/>
        <item x="292"/>
        <item x="68"/>
        <item x="302"/>
        <item x="86"/>
        <item x="222"/>
        <item x="178"/>
        <item x="349"/>
        <item x="305"/>
        <item x="230"/>
        <item x="343"/>
        <item x="359"/>
        <item x="350"/>
        <item x="49"/>
        <item x="153"/>
        <item x="76"/>
        <item x="249"/>
        <item x="294"/>
        <item x="286"/>
        <item x="186"/>
        <item x="291"/>
        <item x="296"/>
        <item x="364"/>
        <item x="244"/>
        <item x="241"/>
        <item x="43"/>
        <item x="275"/>
        <item x="253"/>
        <item x="271"/>
        <item x="269"/>
        <item x="285"/>
        <item x="55"/>
        <item x="288"/>
        <item x="210"/>
        <item x="117"/>
        <item x="298"/>
        <item x="272"/>
        <item x="212"/>
        <item x="434"/>
        <item x="304"/>
        <item x="336"/>
        <item x="414"/>
        <item x="50"/>
        <item x="261"/>
        <item x="405"/>
        <item x="439"/>
        <item x="235"/>
        <item x="441"/>
        <item x="192"/>
        <item x="422"/>
        <item x="419"/>
        <item x="193"/>
        <item x="437"/>
        <item x="301"/>
        <item x="337"/>
        <item x="426"/>
        <item x="352"/>
        <item x="105"/>
        <item x="412"/>
        <item x="98"/>
        <item x="87"/>
        <item x="372"/>
        <item x="362"/>
        <item x="342"/>
        <item x="371"/>
        <item x="387"/>
        <item x="347"/>
        <item x="132"/>
        <item x="351"/>
        <item x="382"/>
        <item x="197"/>
        <item x="160"/>
        <item x="367"/>
        <item x="164"/>
        <item x="306"/>
        <item x="263"/>
        <item x="190"/>
        <item t="default"/>
      </items>
    </pivotField>
    <pivotField compact="0" numFmtId="165" showAll="0"/>
    <pivotField compact="0" numFmtId="165" showAll="0"/>
  </pivotFields>
  <rowFields count="2">
    <field x="5"/>
    <field x="7"/>
  </rowFields>
  <rowItems count="133">
    <i>
      <x v="28"/>
    </i>
    <i r="1">
      <x v="29"/>
    </i>
    <i>
      <x v="8"/>
    </i>
    <i r="1">
      <x v="30"/>
    </i>
    <i>
      <x v="36"/>
    </i>
    <i r="1">
      <x v="18"/>
    </i>
    <i>
      <x v="57"/>
    </i>
    <i r="1">
      <x v="32"/>
    </i>
    <i>
      <x v="25"/>
    </i>
    <i r="1">
      <x v="20"/>
    </i>
    <i>
      <x v="63"/>
    </i>
    <i r="1">
      <x v="54"/>
    </i>
    <i>
      <x v="59"/>
    </i>
    <i r="1">
      <x v="41"/>
    </i>
    <i>
      <x v="18"/>
    </i>
    <i r="1">
      <x v="51"/>
    </i>
    <i>
      <x v="41"/>
    </i>
    <i r="1">
      <x v="11"/>
    </i>
    <i>
      <x v="17"/>
    </i>
    <i r="1">
      <x v="3"/>
    </i>
    <i>
      <x v="6"/>
    </i>
    <i r="1">
      <x v="42"/>
    </i>
    <i>
      <x v="15"/>
    </i>
    <i r="1">
      <x v="49"/>
    </i>
    <i>
      <x v="5"/>
    </i>
    <i r="1">
      <x v="9"/>
    </i>
    <i>
      <x v="10"/>
    </i>
    <i r="1">
      <x v="52"/>
    </i>
    <i>
      <x v="23"/>
    </i>
    <i r="1">
      <x v="65"/>
    </i>
    <i>
      <x v="29"/>
    </i>
    <i r="1">
      <x v="39"/>
    </i>
    <i>
      <x v="14"/>
    </i>
    <i r="1">
      <x v="13"/>
    </i>
    <i>
      <x v="70"/>
    </i>
    <i r="1">
      <x v="38"/>
    </i>
    <i>
      <x v="58"/>
    </i>
    <i r="1">
      <x v="47"/>
    </i>
    <i>
      <x v="43"/>
    </i>
    <i r="1">
      <x v="59"/>
    </i>
    <i>
      <x v="47"/>
    </i>
    <i r="1">
      <x v="46"/>
    </i>
    <i>
      <x v="68"/>
    </i>
    <i r="1">
      <x v="37"/>
    </i>
    <i>
      <x v="53"/>
    </i>
    <i r="1">
      <x v="64"/>
    </i>
    <i>
      <x v="35"/>
    </i>
    <i r="1">
      <x v="44"/>
    </i>
    <i>
      <x v="33"/>
    </i>
    <i r="1">
      <x v="68"/>
    </i>
    <i>
      <x v="66"/>
    </i>
    <i r="1">
      <x v="25"/>
    </i>
    <i>
      <x v="69"/>
    </i>
    <i r="1">
      <x v="36"/>
    </i>
    <i>
      <x v="20"/>
    </i>
    <i r="1">
      <x v="61"/>
    </i>
    <i>
      <x v="31"/>
    </i>
    <i r="1">
      <x v="55"/>
    </i>
    <i>
      <x v="26"/>
    </i>
    <i r="1">
      <x v="48"/>
    </i>
    <i>
      <x v="37"/>
    </i>
    <i r="1">
      <x v="26"/>
    </i>
    <i>
      <x/>
    </i>
    <i r="1">
      <x/>
    </i>
    <i>
      <x v="19"/>
    </i>
    <i r="1">
      <x v="31"/>
    </i>
    <i>
      <x v="56"/>
    </i>
    <i r="1">
      <x v="60"/>
    </i>
    <i>
      <x v="46"/>
    </i>
    <i r="1">
      <x v="27"/>
    </i>
    <i>
      <x v="13"/>
    </i>
    <i r="1">
      <x v="12"/>
    </i>
    <i>
      <x v="44"/>
    </i>
    <i r="1">
      <x v="23"/>
    </i>
    <i>
      <x v="12"/>
    </i>
    <i r="1">
      <x v="16"/>
    </i>
    <i>
      <x v="50"/>
    </i>
    <i r="1">
      <x v="17"/>
    </i>
    <i>
      <x v="54"/>
    </i>
    <i r="1">
      <x v="15"/>
    </i>
    <i>
      <x v="48"/>
    </i>
    <i r="1">
      <x v="34"/>
    </i>
    <i>
      <x v="1"/>
    </i>
    <i r="1">
      <x v="50"/>
    </i>
    <i>
      <x v="32"/>
    </i>
    <i r="1">
      <x v="33"/>
    </i>
    <i>
      <x v="64"/>
    </i>
    <i r="1">
      <x v="24"/>
    </i>
    <i>
      <x v="24"/>
    </i>
    <i r="1">
      <x v="56"/>
    </i>
    <i>
      <x v="42"/>
    </i>
    <i r="1">
      <x v="69"/>
    </i>
    <i>
      <x v="60"/>
    </i>
    <i r="1">
      <x v="66"/>
    </i>
    <i>
      <x v="65"/>
    </i>
    <i r="1">
      <x v="5"/>
    </i>
    <i>
      <x v="55"/>
    </i>
    <i r="1">
      <x v="45"/>
    </i>
    <i>
      <x v="67"/>
    </i>
    <i r="1">
      <x v="35"/>
    </i>
    <i>
      <x v="61"/>
    </i>
    <i r="1">
      <x v="63"/>
    </i>
    <i>
      <x v="34"/>
    </i>
    <i r="1">
      <x v="1"/>
    </i>
    <i>
      <x v="21"/>
    </i>
    <i r="1">
      <x v="62"/>
    </i>
    <i>
      <x v="40"/>
    </i>
    <i r="1">
      <x v="19"/>
    </i>
    <i>
      <x v="16"/>
    </i>
    <i r="1">
      <x v="57"/>
    </i>
    <i>
      <x v="9"/>
    </i>
    <i r="1">
      <x v="8"/>
    </i>
    <i>
      <x v="22"/>
    </i>
    <i r="1">
      <x v="40"/>
    </i>
    <i>
      <x v="7"/>
    </i>
    <i r="1">
      <x v="53"/>
    </i>
    <i>
      <x v="51"/>
    </i>
    <i r="1">
      <x v="43"/>
    </i>
    <i>
      <x v="4"/>
    </i>
    <i r="1">
      <x v="22"/>
    </i>
    <i>
      <x v="62"/>
    </i>
    <i r="1">
      <x v="14"/>
    </i>
    <i>
      <x v="2"/>
    </i>
    <i r="1">
      <x v="21"/>
    </i>
    <i>
      <x v="3"/>
    </i>
    <i r="1">
      <x v="7"/>
    </i>
    <i>
      <x v="45"/>
    </i>
    <i r="1">
      <x v="10"/>
    </i>
    <i>
      <x v="49"/>
    </i>
    <i r="1">
      <x v="70"/>
    </i>
    <i>
      <x v="27"/>
    </i>
    <i r="1">
      <x v="58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0"/>
    <pageField fld="2" hier="0"/>
  </pageFields>
  <dataFields count="2">
    <dataField name="Стоимость продаж, руб." fld="8" baseField="0" baseItem="0" numFmtId="4"/>
    <dataField name="у.в., %" fld="8" showDataAs="percentOfTotal" baseField="0" baseItem="0" numFmtId="10"/>
  </dataFields>
  <formats count="89">
    <format dxfId="88">
      <pivotArea field="1" type="button" dataOnly="0" labelOnly="1" outline="0" fieldPosition="0"/>
    </format>
    <format dxfId="87">
      <pivotArea field="2" type="button" dataOnly="0" labelOnly="1" outline="0" fieldPosition="0"/>
    </format>
    <format dxfId="86">
      <pivotArea dataOnly="0" labelOnly="1" outline="0" fieldPosition="0">
        <references count="1">
          <reference field="1" count="0"/>
        </references>
      </pivotArea>
    </format>
    <format dxfId="85">
      <pivotArea dataOnly="0" labelOnly="1" outline="0" fieldPosition="0">
        <references count="1">
          <reference field="2" count="0"/>
        </references>
      </pivotArea>
    </format>
    <format dxfId="84">
      <pivotArea field="5" type="button" dataOnly="0" labelOnly="1" outline="0" fieldPosition="0"/>
    </format>
    <format dxfId="83">
      <pivotArea field="7" type="button" dataOnly="0" labelOnly="1" outline="0" fieldPosition="0"/>
    </format>
    <format dxfId="82">
      <pivotArea dataOnly="0" labelOnly="1" fieldPosition="0">
        <references count="1">
          <reference field="5" count="0" defaultSubtotal="1"/>
        </references>
      </pivotArea>
    </format>
    <format dxfId="81">
      <pivotArea dataOnly="0" labelOnly="1" fieldPosition="0">
        <references count="2">
          <reference field="5" count="1" selected="0">
            <x v="0"/>
          </reference>
          <reference field="7" count="1">
            <x v="0"/>
          </reference>
        </references>
      </pivotArea>
    </format>
    <format dxfId="80">
      <pivotArea dataOnly="0" labelOnly="1" fieldPosition="0">
        <references count="2">
          <reference field="5" count="1" selected="0">
            <x v="1"/>
          </reference>
          <reference field="7" count="1">
            <x v="50"/>
          </reference>
        </references>
      </pivotArea>
    </format>
    <format dxfId="79">
      <pivotArea dataOnly="0" labelOnly="1" fieldPosition="0">
        <references count="2">
          <reference field="5" count="1" selected="0">
            <x v="2"/>
          </reference>
          <reference field="7" count="1">
            <x v="21"/>
          </reference>
        </references>
      </pivotArea>
    </format>
    <format dxfId="78">
      <pivotArea dataOnly="0" labelOnly="1" fieldPosition="0">
        <references count="2">
          <reference field="5" count="1" selected="0">
            <x v="3"/>
          </reference>
          <reference field="7" count="1">
            <x v="7"/>
          </reference>
        </references>
      </pivotArea>
    </format>
    <format dxfId="77">
      <pivotArea dataOnly="0" labelOnly="1" fieldPosition="0">
        <references count="2">
          <reference field="5" count="1" selected="0">
            <x v="4"/>
          </reference>
          <reference field="7" count="1">
            <x v="22"/>
          </reference>
        </references>
      </pivotArea>
    </format>
    <format dxfId="76">
      <pivotArea dataOnly="0" labelOnly="1" fieldPosition="0">
        <references count="2">
          <reference field="5" count="1" selected="0">
            <x v="5"/>
          </reference>
          <reference field="7" count="1">
            <x v="9"/>
          </reference>
        </references>
      </pivotArea>
    </format>
    <format dxfId="75">
      <pivotArea dataOnly="0" labelOnly="1" fieldPosition="0">
        <references count="2">
          <reference field="5" count="1" selected="0">
            <x v="6"/>
          </reference>
          <reference field="7" count="1">
            <x v="42"/>
          </reference>
        </references>
      </pivotArea>
    </format>
    <format dxfId="74">
      <pivotArea dataOnly="0" labelOnly="1" fieldPosition="0">
        <references count="2">
          <reference field="5" count="1" selected="0">
            <x v="7"/>
          </reference>
          <reference field="7" count="1">
            <x v="53"/>
          </reference>
        </references>
      </pivotArea>
    </format>
    <format dxfId="73">
      <pivotArea dataOnly="0" labelOnly="1" fieldPosition="0">
        <references count="2">
          <reference field="5" count="1" selected="0">
            <x v="8"/>
          </reference>
          <reference field="7" count="1">
            <x v="30"/>
          </reference>
        </references>
      </pivotArea>
    </format>
    <format dxfId="72">
      <pivotArea dataOnly="0" labelOnly="1" fieldPosition="0">
        <references count="2">
          <reference field="5" count="1" selected="0">
            <x v="9"/>
          </reference>
          <reference field="7" count="1">
            <x v="8"/>
          </reference>
        </references>
      </pivotArea>
    </format>
    <format dxfId="71">
      <pivotArea dataOnly="0" labelOnly="1" fieldPosition="0">
        <references count="2">
          <reference field="5" count="1" selected="0">
            <x v="10"/>
          </reference>
          <reference field="7" count="1">
            <x v="52"/>
          </reference>
        </references>
      </pivotArea>
    </format>
    <format dxfId="70">
      <pivotArea dataOnly="0" labelOnly="1" fieldPosition="0">
        <references count="2">
          <reference field="5" count="1" selected="0">
            <x v="11"/>
          </reference>
          <reference field="7" count="1">
            <x v="4"/>
          </reference>
        </references>
      </pivotArea>
    </format>
    <format dxfId="69">
      <pivotArea dataOnly="0" labelOnly="1" fieldPosition="0">
        <references count="2">
          <reference field="5" count="1" selected="0">
            <x v="12"/>
          </reference>
          <reference field="7" count="1">
            <x v="16"/>
          </reference>
        </references>
      </pivotArea>
    </format>
    <format dxfId="68">
      <pivotArea dataOnly="0" labelOnly="1" fieldPosition="0">
        <references count="2">
          <reference field="5" count="1" selected="0">
            <x v="13"/>
          </reference>
          <reference field="7" count="1">
            <x v="12"/>
          </reference>
        </references>
      </pivotArea>
    </format>
    <format dxfId="67">
      <pivotArea dataOnly="0" labelOnly="1" fieldPosition="0">
        <references count="2">
          <reference field="5" count="1" selected="0">
            <x v="14"/>
          </reference>
          <reference field="7" count="1">
            <x v="13"/>
          </reference>
        </references>
      </pivotArea>
    </format>
    <format dxfId="66">
      <pivotArea dataOnly="0" labelOnly="1" fieldPosition="0">
        <references count="2">
          <reference field="5" count="1" selected="0">
            <x v="15"/>
          </reference>
          <reference field="7" count="1">
            <x v="49"/>
          </reference>
        </references>
      </pivotArea>
    </format>
    <format dxfId="65">
      <pivotArea dataOnly="0" labelOnly="1" fieldPosition="0">
        <references count="2">
          <reference field="5" count="1" selected="0">
            <x v="16"/>
          </reference>
          <reference field="7" count="1">
            <x v="57"/>
          </reference>
        </references>
      </pivotArea>
    </format>
    <format dxfId="64">
      <pivotArea dataOnly="0" labelOnly="1" fieldPosition="0">
        <references count="2">
          <reference field="5" count="1" selected="0">
            <x v="17"/>
          </reference>
          <reference field="7" count="1">
            <x v="3"/>
          </reference>
        </references>
      </pivotArea>
    </format>
    <format dxfId="63">
      <pivotArea dataOnly="0" labelOnly="1" fieldPosition="0">
        <references count="2">
          <reference field="5" count="1" selected="0">
            <x v="18"/>
          </reference>
          <reference field="7" count="1">
            <x v="51"/>
          </reference>
        </references>
      </pivotArea>
    </format>
    <format dxfId="62">
      <pivotArea dataOnly="0" labelOnly="1" fieldPosition="0">
        <references count="2">
          <reference field="5" count="1" selected="0">
            <x v="19"/>
          </reference>
          <reference field="7" count="1">
            <x v="31"/>
          </reference>
        </references>
      </pivotArea>
    </format>
    <format dxfId="61">
      <pivotArea dataOnly="0" labelOnly="1" fieldPosition="0">
        <references count="2">
          <reference field="5" count="1" selected="0">
            <x v="20"/>
          </reference>
          <reference field="7" count="1">
            <x v="61"/>
          </reference>
        </references>
      </pivotArea>
    </format>
    <format dxfId="60">
      <pivotArea dataOnly="0" labelOnly="1" fieldPosition="0">
        <references count="2">
          <reference field="5" count="1" selected="0">
            <x v="21"/>
          </reference>
          <reference field="7" count="1">
            <x v="62"/>
          </reference>
        </references>
      </pivotArea>
    </format>
    <format dxfId="59">
      <pivotArea dataOnly="0" labelOnly="1" fieldPosition="0">
        <references count="2">
          <reference field="5" count="1" selected="0">
            <x v="22"/>
          </reference>
          <reference field="7" count="1">
            <x v="40"/>
          </reference>
        </references>
      </pivotArea>
    </format>
    <format dxfId="58">
      <pivotArea dataOnly="0" labelOnly="1" fieldPosition="0">
        <references count="2">
          <reference field="5" count="1" selected="0">
            <x v="23"/>
          </reference>
          <reference field="7" count="1">
            <x v="65"/>
          </reference>
        </references>
      </pivotArea>
    </format>
    <format dxfId="57">
      <pivotArea dataOnly="0" labelOnly="1" fieldPosition="0">
        <references count="2">
          <reference field="5" count="1" selected="0">
            <x v="24"/>
          </reference>
          <reference field="7" count="1">
            <x v="56"/>
          </reference>
        </references>
      </pivotArea>
    </format>
    <format dxfId="56">
      <pivotArea dataOnly="0" labelOnly="1" fieldPosition="0">
        <references count="2">
          <reference field="5" count="1" selected="0">
            <x v="25"/>
          </reference>
          <reference field="7" count="1">
            <x v="20"/>
          </reference>
        </references>
      </pivotArea>
    </format>
    <format dxfId="55">
      <pivotArea dataOnly="0" labelOnly="1" fieldPosition="0">
        <references count="2">
          <reference field="5" count="1" selected="0">
            <x v="26"/>
          </reference>
          <reference field="7" count="1">
            <x v="48"/>
          </reference>
        </references>
      </pivotArea>
    </format>
    <format dxfId="54">
      <pivotArea dataOnly="0" labelOnly="1" fieldPosition="0">
        <references count="2">
          <reference field="5" count="1" selected="0">
            <x v="27"/>
          </reference>
          <reference field="7" count="1">
            <x v="58"/>
          </reference>
        </references>
      </pivotArea>
    </format>
    <format dxfId="53">
      <pivotArea dataOnly="0" labelOnly="1" fieldPosition="0">
        <references count="2">
          <reference field="5" count="1" selected="0">
            <x v="28"/>
          </reference>
          <reference field="7" count="1">
            <x v="29"/>
          </reference>
        </references>
      </pivotArea>
    </format>
    <format dxfId="52">
      <pivotArea dataOnly="0" labelOnly="1" fieldPosition="0">
        <references count="2">
          <reference field="5" count="1" selected="0">
            <x v="29"/>
          </reference>
          <reference field="7" count="1">
            <x v="39"/>
          </reference>
        </references>
      </pivotArea>
    </format>
    <format dxfId="51">
      <pivotArea dataOnly="0" labelOnly="1" fieldPosition="0">
        <references count="2">
          <reference field="5" count="1" selected="0">
            <x v="30"/>
          </reference>
          <reference field="7" count="1">
            <x v="67"/>
          </reference>
        </references>
      </pivotArea>
    </format>
    <format dxfId="50">
      <pivotArea dataOnly="0" labelOnly="1" fieldPosition="0">
        <references count="2">
          <reference field="5" count="1" selected="0">
            <x v="31"/>
          </reference>
          <reference field="7" count="1">
            <x v="55"/>
          </reference>
        </references>
      </pivotArea>
    </format>
    <format dxfId="49">
      <pivotArea dataOnly="0" labelOnly="1" fieldPosition="0">
        <references count="2">
          <reference field="5" count="1" selected="0">
            <x v="32"/>
          </reference>
          <reference field="7" count="1">
            <x v="33"/>
          </reference>
        </references>
      </pivotArea>
    </format>
    <format dxfId="48">
      <pivotArea dataOnly="0" labelOnly="1" fieldPosition="0">
        <references count="2">
          <reference field="5" count="1" selected="0">
            <x v="33"/>
          </reference>
          <reference field="7" count="1">
            <x v="68"/>
          </reference>
        </references>
      </pivotArea>
    </format>
    <format dxfId="47">
      <pivotArea dataOnly="0" labelOnly="1" fieldPosition="0">
        <references count="2">
          <reference field="5" count="1" selected="0">
            <x v="34"/>
          </reference>
          <reference field="7" count="1">
            <x v="1"/>
          </reference>
        </references>
      </pivotArea>
    </format>
    <format dxfId="46">
      <pivotArea dataOnly="0" labelOnly="1" fieldPosition="0">
        <references count="2">
          <reference field="5" count="1" selected="0">
            <x v="35"/>
          </reference>
          <reference field="7" count="1">
            <x v="44"/>
          </reference>
        </references>
      </pivotArea>
    </format>
    <format dxfId="45">
      <pivotArea dataOnly="0" labelOnly="1" fieldPosition="0">
        <references count="2">
          <reference field="5" count="1" selected="0">
            <x v="36"/>
          </reference>
          <reference field="7" count="1">
            <x v="18"/>
          </reference>
        </references>
      </pivotArea>
    </format>
    <format dxfId="44">
      <pivotArea dataOnly="0" labelOnly="1" fieldPosition="0">
        <references count="2">
          <reference field="5" count="1" selected="0">
            <x v="37"/>
          </reference>
          <reference field="7" count="1">
            <x v="26"/>
          </reference>
        </references>
      </pivotArea>
    </format>
    <format dxfId="43">
      <pivotArea dataOnly="0" labelOnly="1" fieldPosition="0">
        <references count="2">
          <reference field="5" count="1" selected="0">
            <x v="38"/>
          </reference>
          <reference field="7" count="1">
            <x v="6"/>
          </reference>
        </references>
      </pivotArea>
    </format>
    <format dxfId="42">
      <pivotArea dataOnly="0" labelOnly="1" fieldPosition="0">
        <references count="2">
          <reference field="5" count="1" selected="0">
            <x v="39"/>
          </reference>
          <reference field="7" count="1">
            <x v="28"/>
          </reference>
        </references>
      </pivotArea>
    </format>
    <format dxfId="41">
      <pivotArea dataOnly="0" labelOnly="1" fieldPosition="0">
        <references count="2">
          <reference field="5" count="1" selected="0">
            <x v="40"/>
          </reference>
          <reference field="7" count="1">
            <x v="19"/>
          </reference>
        </references>
      </pivotArea>
    </format>
    <format dxfId="40">
      <pivotArea dataOnly="0" labelOnly="1" fieldPosition="0">
        <references count="2">
          <reference field="5" count="1" selected="0">
            <x v="41"/>
          </reference>
          <reference field="7" count="1">
            <x v="11"/>
          </reference>
        </references>
      </pivotArea>
    </format>
    <format dxfId="39">
      <pivotArea dataOnly="0" labelOnly="1" fieldPosition="0">
        <references count="2">
          <reference field="5" count="1" selected="0">
            <x v="42"/>
          </reference>
          <reference field="7" count="1">
            <x v="69"/>
          </reference>
        </references>
      </pivotArea>
    </format>
    <format dxfId="38">
      <pivotArea dataOnly="0" labelOnly="1" fieldPosition="0">
        <references count="2">
          <reference field="5" count="1" selected="0">
            <x v="43"/>
          </reference>
          <reference field="7" count="1">
            <x v="59"/>
          </reference>
        </references>
      </pivotArea>
    </format>
    <format dxfId="37">
      <pivotArea dataOnly="0" labelOnly="1" fieldPosition="0">
        <references count="2">
          <reference field="5" count="1" selected="0">
            <x v="44"/>
          </reference>
          <reference field="7" count="1">
            <x v="23"/>
          </reference>
        </references>
      </pivotArea>
    </format>
    <format dxfId="36">
      <pivotArea dataOnly="0" labelOnly="1" fieldPosition="0">
        <references count="2">
          <reference field="5" count="1" selected="0">
            <x v="45"/>
          </reference>
          <reference field="7" count="1">
            <x v="10"/>
          </reference>
        </references>
      </pivotArea>
    </format>
    <format dxfId="35">
      <pivotArea dataOnly="0" labelOnly="1" fieldPosition="0">
        <references count="2">
          <reference field="5" count="1" selected="0">
            <x v="46"/>
          </reference>
          <reference field="7" count="1">
            <x v="27"/>
          </reference>
        </references>
      </pivotArea>
    </format>
    <format dxfId="34">
      <pivotArea dataOnly="0" labelOnly="1" fieldPosition="0">
        <references count="2">
          <reference field="5" count="1" selected="0">
            <x v="47"/>
          </reference>
          <reference field="7" count="1">
            <x v="46"/>
          </reference>
        </references>
      </pivotArea>
    </format>
    <format dxfId="33">
      <pivotArea dataOnly="0" labelOnly="1" fieldPosition="0">
        <references count="2">
          <reference field="5" count="1" selected="0">
            <x v="48"/>
          </reference>
          <reference field="7" count="1">
            <x v="34"/>
          </reference>
        </references>
      </pivotArea>
    </format>
    <format dxfId="32">
      <pivotArea dataOnly="0" labelOnly="1" fieldPosition="0">
        <references count="2">
          <reference field="5" count="1" selected="0">
            <x v="49"/>
          </reference>
          <reference field="7" count="1">
            <x v="70"/>
          </reference>
        </references>
      </pivotArea>
    </format>
    <format dxfId="31">
      <pivotArea dataOnly="0" labelOnly="1" fieldPosition="0">
        <references count="2">
          <reference field="5" count="1" selected="0">
            <x v="50"/>
          </reference>
          <reference field="7" count="1">
            <x v="17"/>
          </reference>
        </references>
      </pivotArea>
    </format>
    <format dxfId="30">
      <pivotArea dataOnly="0" labelOnly="1" fieldPosition="0">
        <references count="2">
          <reference field="5" count="1" selected="0">
            <x v="51"/>
          </reference>
          <reference field="7" count="1">
            <x v="43"/>
          </reference>
        </references>
      </pivotArea>
    </format>
    <format dxfId="29">
      <pivotArea dataOnly="0" labelOnly="1" fieldPosition="0">
        <references count="2">
          <reference field="5" count="1" selected="0">
            <x v="52"/>
          </reference>
          <reference field="7" count="1">
            <x v="2"/>
          </reference>
        </references>
      </pivotArea>
    </format>
    <format dxfId="28">
      <pivotArea dataOnly="0" labelOnly="1" fieldPosition="0">
        <references count="2">
          <reference field="5" count="1" selected="0">
            <x v="53"/>
          </reference>
          <reference field="7" count="1">
            <x v="64"/>
          </reference>
        </references>
      </pivotArea>
    </format>
    <format dxfId="27">
      <pivotArea dataOnly="0" labelOnly="1" fieldPosition="0">
        <references count="2">
          <reference field="5" count="1" selected="0">
            <x v="54"/>
          </reference>
          <reference field="7" count="1">
            <x v="15"/>
          </reference>
        </references>
      </pivotArea>
    </format>
    <format dxfId="26">
      <pivotArea dataOnly="0" labelOnly="1" fieldPosition="0">
        <references count="2">
          <reference field="5" count="1" selected="0">
            <x v="55"/>
          </reference>
          <reference field="7" count="1">
            <x v="45"/>
          </reference>
        </references>
      </pivotArea>
    </format>
    <format dxfId="25">
      <pivotArea dataOnly="0" labelOnly="1" fieldPosition="0">
        <references count="2">
          <reference field="5" count="1" selected="0">
            <x v="56"/>
          </reference>
          <reference field="7" count="1">
            <x v="60"/>
          </reference>
        </references>
      </pivotArea>
    </format>
    <format dxfId="24">
      <pivotArea dataOnly="0" labelOnly="1" fieldPosition="0">
        <references count="2">
          <reference field="5" count="1" selected="0">
            <x v="57"/>
          </reference>
          <reference field="7" count="1">
            <x v="32"/>
          </reference>
        </references>
      </pivotArea>
    </format>
    <format dxfId="23">
      <pivotArea dataOnly="0" labelOnly="1" fieldPosition="0">
        <references count="2">
          <reference field="5" count="1" selected="0">
            <x v="58"/>
          </reference>
          <reference field="7" count="1">
            <x v="47"/>
          </reference>
        </references>
      </pivotArea>
    </format>
    <format dxfId="22">
      <pivotArea dataOnly="0" labelOnly="1" fieldPosition="0">
        <references count="2">
          <reference field="5" count="1" selected="0">
            <x v="59"/>
          </reference>
          <reference field="7" count="1">
            <x v="41"/>
          </reference>
        </references>
      </pivotArea>
    </format>
    <format dxfId="21">
      <pivotArea dataOnly="0" labelOnly="1" fieldPosition="0">
        <references count="2">
          <reference field="5" count="1" selected="0">
            <x v="60"/>
          </reference>
          <reference field="7" count="1">
            <x v="66"/>
          </reference>
        </references>
      </pivotArea>
    </format>
    <format dxfId="20">
      <pivotArea dataOnly="0" labelOnly="1" fieldPosition="0">
        <references count="2">
          <reference field="5" count="1" selected="0">
            <x v="61"/>
          </reference>
          <reference field="7" count="1">
            <x v="63"/>
          </reference>
        </references>
      </pivotArea>
    </format>
    <format dxfId="19">
      <pivotArea dataOnly="0" labelOnly="1" fieldPosition="0">
        <references count="2">
          <reference field="5" count="1" selected="0">
            <x v="62"/>
          </reference>
          <reference field="7" count="1">
            <x v="14"/>
          </reference>
        </references>
      </pivotArea>
    </format>
    <format dxfId="18">
      <pivotArea dataOnly="0" labelOnly="1" fieldPosition="0">
        <references count="2">
          <reference field="5" count="1" selected="0">
            <x v="63"/>
          </reference>
          <reference field="7" count="1">
            <x v="54"/>
          </reference>
        </references>
      </pivotArea>
    </format>
    <format dxfId="17">
      <pivotArea dataOnly="0" labelOnly="1" fieldPosition="0">
        <references count="2">
          <reference field="5" count="1" selected="0">
            <x v="64"/>
          </reference>
          <reference field="7" count="1">
            <x v="24"/>
          </reference>
        </references>
      </pivotArea>
    </format>
    <format dxfId="16">
      <pivotArea dataOnly="0" labelOnly="1" fieldPosition="0">
        <references count="2">
          <reference field="5" count="1" selected="0">
            <x v="65"/>
          </reference>
          <reference field="7" count="1">
            <x v="5"/>
          </reference>
        </references>
      </pivotArea>
    </format>
    <format dxfId="15">
      <pivotArea dataOnly="0" labelOnly="1" fieldPosition="0">
        <references count="2">
          <reference field="5" count="1" selected="0">
            <x v="66"/>
          </reference>
          <reference field="7" count="1">
            <x v="25"/>
          </reference>
        </references>
      </pivotArea>
    </format>
    <format dxfId="14">
      <pivotArea dataOnly="0" labelOnly="1" fieldPosition="0">
        <references count="2">
          <reference field="5" count="1" selected="0">
            <x v="67"/>
          </reference>
          <reference field="7" count="1">
            <x v="35"/>
          </reference>
        </references>
      </pivotArea>
    </format>
    <format dxfId="13">
      <pivotArea dataOnly="0" labelOnly="1" fieldPosition="0">
        <references count="2">
          <reference field="5" count="1" selected="0">
            <x v="68"/>
          </reference>
          <reference field="7" count="1">
            <x v="37"/>
          </reference>
        </references>
      </pivotArea>
    </format>
    <format dxfId="12">
      <pivotArea dataOnly="0" labelOnly="1" fieldPosition="0">
        <references count="2">
          <reference field="5" count="1" selected="0">
            <x v="69"/>
          </reference>
          <reference field="7" count="1">
            <x v="36"/>
          </reference>
        </references>
      </pivotArea>
    </format>
    <format dxfId="11">
      <pivotArea dataOnly="0" labelOnly="1" fieldPosition="0">
        <references count="2">
          <reference field="5" count="1" selected="0">
            <x v="70"/>
          </reference>
          <reference field="7" count="1">
            <x v="38"/>
          </reference>
        </references>
      </pivotArea>
    </format>
    <format dxfId="10">
      <pivotArea dataOnly="0" labelOnly="1" grandRow="1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2" cacheId="1" applyNumberFormats="0" applyBorderFormats="0" applyFontFormats="0" applyPatternFormats="0" applyAlignmentFormats="0" applyWidthHeightFormats="1" dataCaption="Значения" updatedVersion="7" minRefreshableVersion="3" createdVersion="7" indent="0" outline="1" outlineData="1" multipleFieldFilters="0">
  <location ref="A4:C391" firstHeaderRow="0" firstDataRow="1" firstDataCol="1" rowPageCount="2" colPageCount="1"/>
  <pivotFields count="12">
    <pivotField showAll="0"/>
    <pivotField axis="axisPage" multipleItemSelectionAllowed="1" showAll="0">
      <items count="20">
        <item x="3"/>
        <item x="7"/>
        <item x="11"/>
        <item x="15"/>
        <item x="0"/>
        <item x="4"/>
        <item x="8"/>
        <item x="12"/>
        <item x="16"/>
        <item x="1"/>
        <item x="5"/>
        <item x="9"/>
        <item x="13"/>
        <item x="17"/>
        <item x="2"/>
        <item x="6"/>
        <item x="10"/>
        <item x="14"/>
        <item x="18"/>
        <item t="default"/>
      </items>
    </pivotField>
    <pivotField axis="axisPage" multipleItemSelectionAllowed="1" showAll="0">
      <items count="5">
        <item x="0"/>
        <item h="1" x="2"/>
        <item h="1" x="3"/>
        <item h="1" x="1"/>
        <item t="default"/>
      </items>
    </pivotField>
    <pivotField showAll="0"/>
    <pivotField showAll="0"/>
    <pivotField showAll="0"/>
    <pivotField axis="axisRow" showAll="0" sortType="descending">
      <items count="195">
        <item x="107"/>
        <item x="10"/>
        <item x="44"/>
        <item x="122"/>
        <item x="34"/>
        <item x="62"/>
        <item x="90"/>
        <item x="73"/>
        <item x="12"/>
        <item x="45"/>
        <item x="47"/>
        <item x="31"/>
        <item x="151"/>
        <item x="75"/>
        <item x="188"/>
        <item x="186"/>
        <item x="189"/>
        <item x="89"/>
        <item x="102"/>
        <item x="115"/>
        <item x="88"/>
        <item x="183"/>
        <item x="85"/>
        <item x="114"/>
        <item x="141"/>
        <item x="182"/>
        <item x="112"/>
        <item x="176"/>
        <item x="56"/>
        <item x="41"/>
        <item x="190"/>
        <item x="15"/>
        <item x="145"/>
        <item x="28"/>
        <item x="60"/>
        <item x="163"/>
        <item x="16"/>
        <item x="113"/>
        <item x="65"/>
        <item x="83"/>
        <item x="1"/>
        <item x="78"/>
        <item x="14"/>
        <item x="20"/>
        <item x="165"/>
        <item x="178"/>
        <item x="54"/>
        <item x="110"/>
        <item x="0"/>
        <item x="39"/>
        <item x="150"/>
        <item x="63"/>
        <item x="124"/>
        <item x="179"/>
        <item x="96"/>
        <item x="136"/>
        <item x="97"/>
        <item x="121"/>
        <item x="171"/>
        <item x="118"/>
        <item x="180"/>
        <item x="173"/>
        <item x="123"/>
        <item x="3"/>
        <item x="29"/>
        <item x="149"/>
        <item x="58"/>
        <item x="91"/>
        <item x="170"/>
        <item x="61"/>
        <item x="82"/>
        <item x="2"/>
        <item x="168"/>
        <item x="144"/>
        <item x="152"/>
        <item x="133"/>
        <item x="87"/>
        <item x="94"/>
        <item x="64"/>
        <item x="13"/>
        <item x="132"/>
        <item x="184"/>
        <item x="59"/>
        <item x="66"/>
        <item x="131"/>
        <item x="38"/>
        <item x="19"/>
        <item x="21"/>
        <item x="53"/>
        <item x="11"/>
        <item x="6"/>
        <item x="76"/>
        <item x="106"/>
        <item x="139"/>
        <item x="169"/>
        <item x="193"/>
        <item x="84"/>
        <item x="8"/>
        <item x="134"/>
        <item x="51"/>
        <item x="74"/>
        <item x="42"/>
        <item x="101"/>
        <item x="57"/>
        <item x="103"/>
        <item x="92"/>
        <item x="192"/>
        <item x="48"/>
        <item x="140"/>
        <item x="98"/>
        <item x="4"/>
        <item x="164"/>
        <item x="105"/>
        <item x="43"/>
        <item x="52"/>
        <item x="25"/>
        <item x="18"/>
        <item x="93"/>
        <item x="86"/>
        <item x="147"/>
        <item x="79"/>
        <item x="111"/>
        <item x="37"/>
        <item x="128"/>
        <item x="146"/>
        <item x="116"/>
        <item x="17"/>
        <item x="142"/>
        <item x="80"/>
        <item x="157"/>
        <item x="35"/>
        <item x="119"/>
        <item x="109"/>
        <item x="32"/>
        <item x="7"/>
        <item x="172"/>
        <item x="67"/>
        <item x="159"/>
        <item x="81"/>
        <item x="27"/>
        <item x="108"/>
        <item x="154"/>
        <item x="125"/>
        <item x="95"/>
        <item x="9"/>
        <item x="155"/>
        <item x="36"/>
        <item x="71"/>
        <item x="68"/>
        <item x="117"/>
        <item x="23"/>
        <item x="127"/>
        <item x="104"/>
        <item x="153"/>
        <item x="70"/>
        <item x="130"/>
        <item x="161"/>
        <item x="175"/>
        <item x="129"/>
        <item x="33"/>
        <item x="187"/>
        <item x="77"/>
        <item x="160"/>
        <item x="177"/>
        <item x="162"/>
        <item x="100"/>
        <item x="120"/>
        <item x="138"/>
        <item x="156"/>
        <item x="99"/>
        <item x="26"/>
        <item x="143"/>
        <item x="5"/>
        <item x="46"/>
        <item x="49"/>
        <item x="148"/>
        <item x="72"/>
        <item x="40"/>
        <item x="30"/>
        <item x="69"/>
        <item x="22"/>
        <item x="135"/>
        <item x="55"/>
        <item x="137"/>
        <item x="50"/>
        <item x="24"/>
        <item x="185"/>
        <item x="181"/>
        <item x="174"/>
        <item x="191"/>
        <item x="126"/>
        <item x="167"/>
        <item x="166"/>
        <item x="1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95">
        <item x="122"/>
        <item x="99"/>
        <item x="124"/>
        <item x="58"/>
        <item x="19"/>
        <item x="86"/>
        <item x="63"/>
        <item x="183"/>
        <item x="87"/>
        <item x="179"/>
        <item x="14"/>
        <item x="131"/>
        <item x="178"/>
        <item x="149"/>
        <item x="164"/>
        <item x="62"/>
        <item x="73"/>
        <item x="77"/>
        <item x="45"/>
        <item x="155"/>
        <item x="75"/>
        <item x="44"/>
        <item x="57"/>
        <item x="5"/>
        <item x="139"/>
        <item x="60"/>
        <item x="158"/>
        <item x="33"/>
        <item x="166"/>
        <item x="188"/>
        <item x="67"/>
        <item x="20"/>
        <item x="38"/>
        <item x="50"/>
        <item x="132"/>
        <item x="172"/>
        <item x="114"/>
        <item x="34"/>
        <item x="74"/>
        <item x="187"/>
        <item x="9"/>
        <item x="102"/>
        <item x="6"/>
        <item x="23"/>
        <item x="82"/>
        <item x="153"/>
        <item x="151"/>
        <item x="53"/>
        <item x="100"/>
        <item x="110"/>
        <item x="27"/>
        <item x="154"/>
        <item x="148"/>
        <item x="88"/>
        <item x="76"/>
        <item x="96"/>
        <item x="51"/>
        <item x="119"/>
        <item x="94"/>
        <item x="181"/>
        <item x="105"/>
        <item x="116"/>
        <item x="117"/>
        <item x="111"/>
        <item x="66"/>
        <item x="184"/>
        <item x="36"/>
        <item x="142"/>
        <item x="65"/>
        <item x="143"/>
        <item x="17"/>
        <item x="37"/>
        <item x="95"/>
        <item x="18"/>
        <item x="11"/>
        <item x="107"/>
        <item x="145"/>
        <item x="137"/>
        <item x="1"/>
        <item x="90"/>
        <item x="159"/>
        <item x="61"/>
        <item x="41"/>
        <item x="55"/>
        <item x="135"/>
        <item x="128"/>
        <item x="168"/>
        <item x="42"/>
        <item x="130"/>
        <item x="83"/>
        <item x="54"/>
        <item x="157"/>
        <item x="115"/>
        <item x="91"/>
        <item x="0"/>
        <item x="47"/>
        <item x="92"/>
        <item x="21"/>
        <item x="127"/>
        <item x="4"/>
        <item x="174"/>
        <item x="46"/>
        <item x="89"/>
        <item x="133"/>
        <item x="103"/>
        <item x="48"/>
        <item x="39"/>
        <item x="79"/>
        <item x="52"/>
        <item x="78"/>
        <item x="125"/>
        <item x="68"/>
        <item x="146"/>
        <item x="182"/>
        <item x="56"/>
        <item x="59"/>
        <item x="177"/>
        <item x="31"/>
        <item x="173"/>
        <item x="104"/>
        <item x="170"/>
        <item x="93"/>
        <item x="141"/>
        <item x="160"/>
        <item x="22"/>
        <item x="144"/>
        <item x="108"/>
        <item x="7"/>
        <item x="180"/>
        <item x="175"/>
        <item x="85"/>
        <item x="161"/>
        <item x="29"/>
        <item x="136"/>
        <item x="118"/>
        <item x="43"/>
        <item x="25"/>
        <item x="28"/>
        <item x="193"/>
        <item x="112"/>
        <item x="10"/>
        <item x="113"/>
        <item x="49"/>
        <item x="147"/>
        <item x="171"/>
        <item x="121"/>
        <item x="32"/>
        <item x="15"/>
        <item x="165"/>
        <item x="191"/>
        <item x="71"/>
        <item x="98"/>
        <item x="24"/>
        <item x="120"/>
        <item x="189"/>
        <item x="13"/>
        <item x="101"/>
        <item x="192"/>
        <item x="140"/>
        <item x="84"/>
        <item x="190"/>
        <item x="185"/>
        <item x="129"/>
        <item x="2"/>
        <item x="109"/>
        <item x="72"/>
        <item x="167"/>
        <item x="12"/>
        <item x="134"/>
        <item x="176"/>
        <item x="80"/>
        <item x="152"/>
        <item x="97"/>
        <item x="81"/>
        <item x="64"/>
        <item x="156"/>
        <item x="162"/>
        <item x="30"/>
        <item x="138"/>
        <item x="169"/>
        <item x="70"/>
        <item x="186"/>
        <item x="8"/>
        <item x="126"/>
        <item x="163"/>
        <item x="150"/>
        <item x="35"/>
        <item x="69"/>
        <item x="106"/>
        <item x="26"/>
        <item x="40"/>
        <item x="3"/>
        <item x="16"/>
        <item x="123"/>
        <item t="default"/>
      </items>
    </pivotField>
    <pivotField dataField="1" numFmtId="165" showAll="0"/>
    <pivotField numFmtId="165" showAll="0"/>
    <pivotField showAll="0"/>
  </pivotFields>
  <rowFields count="2">
    <field x="6"/>
    <field x="8"/>
  </rowFields>
  <rowItems count="387">
    <i>
      <x v="13"/>
    </i>
    <i r="1">
      <x v="20"/>
    </i>
    <i>
      <x v="176"/>
    </i>
    <i r="1">
      <x v="165"/>
    </i>
    <i>
      <x v="104"/>
    </i>
    <i r="1">
      <x v="104"/>
    </i>
    <i>
      <x v="29"/>
    </i>
    <i r="1">
      <x v="82"/>
    </i>
    <i>
      <x v="186"/>
    </i>
    <i r="1">
      <x v="161"/>
    </i>
    <i>
      <x v="146"/>
    </i>
    <i r="1">
      <x v="66"/>
    </i>
    <i>
      <x v="26"/>
    </i>
    <i r="1">
      <x v="139"/>
    </i>
    <i>
      <x v="48"/>
    </i>
    <i r="1">
      <x v="94"/>
    </i>
    <i>
      <x v="76"/>
    </i>
    <i r="1">
      <x v="8"/>
    </i>
    <i>
      <x v="117"/>
    </i>
    <i r="1">
      <x v="121"/>
    </i>
    <i>
      <x v="52"/>
    </i>
    <i r="1">
      <x v="2"/>
    </i>
    <i>
      <x v="112"/>
    </i>
    <i r="1">
      <x v="60"/>
    </i>
    <i>
      <x v="118"/>
    </i>
    <i r="1">
      <x v="5"/>
    </i>
    <i>
      <x v="107"/>
    </i>
    <i r="1">
      <x v="105"/>
    </i>
    <i>
      <x v="126"/>
    </i>
    <i r="1">
      <x v="70"/>
    </i>
    <i>
      <x v="181"/>
    </i>
    <i r="1">
      <x v="84"/>
    </i>
    <i>
      <x v="145"/>
    </i>
    <i r="1">
      <x v="19"/>
    </i>
    <i>
      <x v="2"/>
    </i>
    <i r="1">
      <x v="21"/>
    </i>
    <i>
      <x v="24"/>
    </i>
    <i r="1">
      <x v="122"/>
    </i>
    <i>
      <x v="135"/>
    </i>
    <i r="1">
      <x v="35"/>
    </i>
    <i>
      <x v="142"/>
    </i>
    <i r="1">
      <x v="110"/>
    </i>
    <i>
      <x v="120"/>
    </i>
    <i r="1">
      <x v="107"/>
    </i>
    <i>
      <x v="192"/>
    </i>
    <i r="1">
      <x v="28"/>
    </i>
    <i>
      <x v="163"/>
    </i>
    <i r="1">
      <x v="116"/>
    </i>
    <i>
      <x v="160"/>
    </i>
    <i r="1">
      <x v="39"/>
    </i>
    <i>
      <x v="187"/>
    </i>
    <i r="1">
      <x v="59"/>
    </i>
    <i>
      <x v="27"/>
    </i>
    <i r="1">
      <x v="169"/>
    </i>
    <i>
      <x v="94"/>
    </i>
    <i r="1">
      <x v="179"/>
    </i>
    <i>
      <x v="49"/>
    </i>
    <i r="1">
      <x v="106"/>
    </i>
    <i>
      <x v="67"/>
    </i>
    <i r="1">
      <x v="93"/>
    </i>
    <i>
      <x v="92"/>
    </i>
    <i r="1">
      <x v="188"/>
    </i>
    <i>
      <x v="51"/>
    </i>
    <i r="1">
      <x v="6"/>
    </i>
    <i>
      <x v="159"/>
    </i>
    <i r="1">
      <x v="27"/>
    </i>
    <i>
      <x v="178"/>
    </i>
    <i r="1">
      <x v="177"/>
    </i>
    <i>
      <x v="86"/>
    </i>
    <i r="1">
      <x v="4"/>
    </i>
    <i>
      <x v="170"/>
    </i>
    <i r="1">
      <x v="189"/>
    </i>
    <i>
      <x v="75"/>
    </i>
    <i r="1">
      <x v="103"/>
    </i>
    <i>
      <x v="175"/>
    </i>
    <i r="1">
      <x v="52"/>
    </i>
    <i>
      <x v="18"/>
    </i>
    <i r="1">
      <x v="41"/>
    </i>
    <i>
      <x v="166"/>
    </i>
    <i r="1">
      <x v="153"/>
    </i>
    <i>
      <x v="34"/>
    </i>
    <i r="1">
      <x v="25"/>
    </i>
    <i>
      <x v="191"/>
    </i>
    <i r="1">
      <x v="166"/>
    </i>
    <i>
      <x v="25"/>
    </i>
    <i r="1">
      <x v="113"/>
    </i>
    <i>
      <x v="183"/>
    </i>
    <i r="1">
      <x v="77"/>
    </i>
    <i>
      <x v="105"/>
    </i>
    <i r="1">
      <x v="96"/>
    </i>
    <i>
      <x v="17"/>
    </i>
    <i r="1">
      <x v="102"/>
    </i>
    <i>
      <x v="152"/>
    </i>
    <i r="1">
      <x v="119"/>
    </i>
    <i>
      <x v="88"/>
    </i>
    <i r="1">
      <x v="47"/>
    </i>
    <i>
      <x v="144"/>
    </i>
    <i r="1">
      <x v="40"/>
    </i>
    <i>
      <x v="95"/>
    </i>
    <i r="1">
      <x v="138"/>
    </i>
    <i>
      <x v="83"/>
    </i>
    <i r="1">
      <x v="64"/>
    </i>
    <i>
      <x v="106"/>
    </i>
    <i r="1">
      <x v="157"/>
    </i>
    <i>
      <x v="102"/>
    </i>
    <i r="1">
      <x v="156"/>
    </i>
    <i>
      <x v="98"/>
    </i>
    <i r="1">
      <x v="168"/>
    </i>
    <i>
      <x v="32"/>
    </i>
    <i r="1">
      <x v="76"/>
    </i>
    <i>
      <x v="19"/>
    </i>
    <i r="1">
      <x v="92"/>
    </i>
    <i>
      <x v="90"/>
    </i>
    <i r="1">
      <x v="42"/>
    </i>
    <i>
      <x v="150"/>
    </i>
    <i r="1">
      <x v="43"/>
    </i>
    <i>
      <x v="1"/>
    </i>
    <i r="1">
      <x v="140"/>
    </i>
    <i>
      <x v="109"/>
    </i>
    <i r="1">
      <x v="151"/>
    </i>
    <i>
      <x v="116"/>
    </i>
    <i r="1">
      <x v="73"/>
    </i>
    <i>
      <x v="78"/>
    </i>
    <i r="1">
      <x v="174"/>
    </i>
    <i>
      <x v="114"/>
    </i>
    <i r="1">
      <x v="108"/>
    </i>
    <i>
      <x v="30"/>
    </i>
    <i r="1">
      <x v="160"/>
    </i>
    <i>
      <x v="28"/>
    </i>
    <i r="1">
      <x v="114"/>
    </i>
    <i>
      <x v="85"/>
    </i>
    <i r="1">
      <x v="32"/>
    </i>
    <i>
      <x v="42"/>
    </i>
    <i r="1">
      <x v="10"/>
    </i>
    <i>
      <x v="157"/>
    </i>
    <i r="1">
      <x v="129"/>
    </i>
    <i>
      <x v="113"/>
    </i>
    <i r="1">
      <x v="135"/>
    </i>
    <i>
      <x v="180"/>
    </i>
    <i r="1">
      <x v="124"/>
    </i>
    <i>
      <x v="89"/>
    </i>
    <i r="1">
      <x v="74"/>
    </i>
    <i>
      <x v="43"/>
    </i>
    <i r="1">
      <x v="31"/>
    </i>
    <i>
      <x v="12"/>
    </i>
    <i r="1">
      <x v="46"/>
    </i>
    <i>
      <x v="8"/>
    </i>
    <i r="1">
      <x v="167"/>
    </i>
    <i>
      <x v="70"/>
    </i>
    <i r="1">
      <x v="44"/>
    </i>
    <i>
      <x v="193"/>
    </i>
    <i r="1">
      <x v="26"/>
    </i>
    <i>
      <x v="3"/>
    </i>
    <i r="1">
      <x/>
    </i>
    <i>
      <x v="124"/>
    </i>
    <i r="1">
      <x v="112"/>
    </i>
    <i>
      <x v="33"/>
    </i>
    <i r="1">
      <x v="137"/>
    </i>
    <i>
      <x v="121"/>
    </i>
    <i r="1">
      <x v="63"/>
    </i>
    <i>
      <x v="169"/>
    </i>
    <i r="1">
      <x v="1"/>
    </i>
    <i>
      <x v="44"/>
    </i>
    <i r="1">
      <x v="148"/>
    </i>
    <i>
      <x v="115"/>
    </i>
    <i r="1">
      <x v="136"/>
    </i>
    <i>
      <x v="155"/>
    </i>
    <i r="1">
      <x v="88"/>
    </i>
    <i>
      <x v="137"/>
    </i>
    <i r="1">
      <x v="80"/>
    </i>
    <i>
      <x v="171"/>
    </i>
    <i r="1">
      <x v="69"/>
    </i>
    <i>
      <x v="177"/>
    </i>
    <i r="1">
      <x v="190"/>
    </i>
    <i>
      <x v="188"/>
    </i>
    <i r="1">
      <x v="100"/>
    </i>
    <i>
      <x v="101"/>
    </i>
    <i r="1">
      <x v="87"/>
    </i>
    <i>
      <x v="151"/>
    </i>
    <i r="1">
      <x v="98"/>
    </i>
    <i>
      <x/>
    </i>
    <i r="1">
      <x v="75"/>
    </i>
    <i>
      <x v="122"/>
    </i>
    <i r="1">
      <x v="71"/>
    </i>
    <i>
      <x v="133"/>
    </i>
    <i r="1">
      <x v="146"/>
    </i>
    <i>
      <x v="50"/>
    </i>
    <i r="1">
      <x v="185"/>
    </i>
    <i>
      <x v="6"/>
    </i>
    <i r="1">
      <x v="79"/>
    </i>
    <i>
      <x v="47"/>
    </i>
    <i r="1">
      <x v="49"/>
    </i>
    <i>
      <x v="136"/>
    </i>
    <i r="1">
      <x v="30"/>
    </i>
    <i>
      <x v="58"/>
    </i>
    <i r="1">
      <x v="144"/>
    </i>
    <i>
      <x v="4"/>
    </i>
    <i r="1">
      <x v="37"/>
    </i>
    <i>
      <x v="119"/>
    </i>
    <i r="1">
      <x v="143"/>
    </i>
    <i>
      <x v="46"/>
    </i>
    <i r="1">
      <x v="90"/>
    </i>
    <i>
      <x v="56"/>
    </i>
    <i r="1">
      <x v="172"/>
    </i>
    <i>
      <x v="54"/>
    </i>
    <i r="1">
      <x v="55"/>
    </i>
    <i>
      <x v="111"/>
    </i>
    <i r="1">
      <x v="14"/>
    </i>
    <i>
      <x v="87"/>
    </i>
    <i r="1">
      <x v="97"/>
    </i>
    <i>
      <x v="164"/>
    </i>
    <i r="1">
      <x v="176"/>
    </i>
    <i>
      <x v="5"/>
    </i>
    <i r="1">
      <x v="15"/>
    </i>
    <i>
      <x v="100"/>
    </i>
    <i r="1">
      <x v="38"/>
    </i>
    <i>
      <x v="62"/>
    </i>
    <i r="1">
      <x v="193"/>
    </i>
    <i>
      <x v="45"/>
    </i>
    <i r="1">
      <x v="12"/>
    </i>
    <i>
      <x v="97"/>
    </i>
    <i r="1">
      <x v="182"/>
    </i>
    <i>
      <x v="110"/>
    </i>
    <i r="1">
      <x v="99"/>
    </i>
    <i>
      <x v="36"/>
    </i>
    <i r="1">
      <x v="192"/>
    </i>
    <i>
      <x v="80"/>
    </i>
    <i r="1">
      <x v="34"/>
    </i>
    <i>
      <x v="153"/>
    </i>
    <i r="1">
      <x v="45"/>
    </i>
    <i>
      <x v="66"/>
    </i>
    <i r="1">
      <x v="3"/>
    </i>
    <i>
      <x v="123"/>
    </i>
    <i r="1">
      <x v="85"/>
    </i>
    <i>
      <x v="182"/>
    </i>
    <i r="1">
      <x v="83"/>
    </i>
    <i>
      <x v="93"/>
    </i>
    <i r="1">
      <x v="24"/>
    </i>
    <i>
      <x v="64"/>
    </i>
    <i r="1">
      <x v="132"/>
    </i>
    <i>
      <x v="81"/>
    </i>
    <i r="1">
      <x v="65"/>
    </i>
    <i>
      <x v="60"/>
    </i>
    <i r="1">
      <x v="128"/>
    </i>
    <i>
      <x v="74"/>
    </i>
    <i r="1">
      <x v="171"/>
    </i>
    <i>
      <x v="138"/>
    </i>
    <i r="1">
      <x v="173"/>
    </i>
    <i>
      <x v="15"/>
    </i>
    <i r="1">
      <x v="181"/>
    </i>
    <i>
      <x v="7"/>
    </i>
    <i r="1">
      <x v="16"/>
    </i>
    <i>
      <x v="125"/>
    </i>
    <i r="1">
      <x v="61"/>
    </i>
    <i>
      <x v="179"/>
    </i>
    <i r="1">
      <x v="187"/>
    </i>
    <i>
      <x v="184"/>
    </i>
    <i r="1">
      <x v="33"/>
    </i>
    <i>
      <x v="156"/>
    </i>
    <i r="1">
      <x v="131"/>
    </i>
    <i>
      <x v="14"/>
    </i>
    <i r="1">
      <x v="29"/>
    </i>
    <i>
      <x v="139"/>
    </i>
    <i r="1">
      <x v="50"/>
    </i>
    <i>
      <x v="9"/>
    </i>
    <i r="1">
      <x v="18"/>
    </i>
    <i>
      <x v="11"/>
    </i>
    <i r="1">
      <x v="117"/>
    </i>
    <i>
      <x v="77"/>
    </i>
    <i r="1">
      <x v="58"/>
    </i>
    <i>
      <x v="16"/>
    </i>
    <i r="1">
      <x v="154"/>
    </i>
    <i>
      <x v="158"/>
    </i>
    <i r="1">
      <x v="162"/>
    </i>
    <i>
      <x v="69"/>
    </i>
    <i r="1">
      <x v="81"/>
    </i>
    <i>
      <x v="99"/>
    </i>
    <i r="1">
      <x v="56"/>
    </i>
    <i>
      <x v="96"/>
    </i>
    <i r="1">
      <x v="159"/>
    </i>
    <i>
      <x v="131"/>
    </i>
    <i r="1">
      <x v="57"/>
    </i>
    <i>
      <x v="35"/>
    </i>
    <i r="1">
      <x v="184"/>
    </i>
    <i>
      <x v="68"/>
    </i>
    <i r="1">
      <x v="120"/>
    </i>
    <i>
      <x v="189"/>
    </i>
    <i r="1">
      <x v="149"/>
    </i>
    <i>
      <x v="168"/>
    </i>
    <i r="1">
      <x v="175"/>
    </i>
    <i>
      <x v="39"/>
    </i>
    <i r="1">
      <x v="89"/>
    </i>
    <i>
      <x v="149"/>
    </i>
    <i r="1">
      <x v="62"/>
    </i>
    <i>
      <x v="140"/>
    </i>
    <i r="1">
      <x v="126"/>
    </i>
    <i>
      <x v="130"/>
    </i>
    <i r="1">
      <x v="186"/>
    </i>
    <i>
      <x v="91"/>
    </i>
    <i r="1">
      <x v="54"/>
    </i>
    <i>
      <x v="10"/>
    </i>
    <i r="1">
      <x v="95"/>
    </i>
    <i>
      <x v="103"/>
    </i>
    <i r="1">
      <x v="22"/>
    </i>
    <i>
      <x v="79"/>
    </i>
    <i r="1">
      <x v="155"/>
    </i>
    <i>
      <x v="55"/>
    </i>
    <i r="1">
      <x v="133"/>
    </i>
    <i>
      <x v="61"/>
    </i>
    <i r="1">
      <x v="118"/>
    </i>
    <i>
      <x v="57"/>
    </i>
    <i r="1">
      <x v="145"/>
    </i>
    <i>
      <x v="147"/>
    </i>
    <i r="1">
      <x v="150"/>
    </i>
    <i>
      <x v="154"/>
    </i>
    <i r="1">
      <x v="180"/>
    </i>
    <i>
      <x v="162"/>
    </i>
    <i r="1">
      <x v="123"/>
    </i>
    <i>
      <x v="82"/>
    </i>
    <i r="1">
      <x v="115"/>
    </i>
    <i>
      <x v="65"/>
    </i>
    <i r="1">
      <x v="13"/>
    </i>
    <i>
      <x v="141"/>
    </i>
    <i r="1">
      <x v="51"/>
    </i>
    <i>
      <x v="132"/>
    </i>
    <i r="1">
      <x v="164"/>
    </i>
    <i>
      <x v="72"/>
    </i>
    <i r="1">
      <x v="86"/>
    </i>
    <i>
      <x v="161"/>
    </i>
    <i r="1">
      <x v="17"/>
    </i>
    <i>
      <x v="129"/>
    </i>
    <i r="1">
      <x v="91"/>
    </i>
    <i>
      <x v="31"/>
    </i>
    <i r="1">
      <x v="147"/>
    </i>
    <i>
      <x v="165"/>
    </i>
    <i r="1">
      <x v="48"/>
    </i>
    <i>
      <x v="22"/>
    </i>
    <i r="1">
      <x v="130"/>
    </i>
    <i>
      <x v="143"/>
    </i>
    <i r="1">
      <x v="72"/>
    </i>
    <i>
      <x v="41"/>
    </i>
    <i r="1">
      <x v="109"/>
    </i>
    <i>
      <x v="71"/>
    </i>
    <i r="1">
      <x v="163"/>
    </i>
    <i>
      <x v="37"/>
    </i>
    <i r="1">
      <x v="141"/>
    </i>
    <i>
      <x v="190"/>
    </i>
    <i r="1">
      <x v="183"/>
    </i>
    <i>
      <x v="127"/>
    </i>
    <i r="1">
      <x v="67"/>
    </i>
    <i>
      <x v="185"/>
    </i>
    <i r="1">
      <x v="152"/>
    </i>
    <i>
      <x v="20"/>
    </i>
    <i r="1">
      <x v="53"/>
    </i>
    <i>
      <x v="38"/>
    </i>
    <i r="1">
      <x v="68"/>
    </i>
    <i>
      <x v="148"/>
    </i>
    <i r="1">
      <x v="111"/>
    </i>
    <i>
      <x v="23"/>
    </i>
    <i r="1">
      <x v="36"/>
    </i>
    <i>
      <x v="21"/>
    </i>
    <i r="1">
      <x v="7"/>
    </i>
    <i>
      <x v="167"/>
    </i>
    <i r="1">
      <x v="178"/>
    </i>
    <i>
      <x v="40"/>
    </i>
    <i r="1">
      <x v="78"/>
    </i>
    <i>
      <x v="128"/>
    </i>
    <i r="1">
      <x v="170"/>
    </i>
    <i>
      <x v="53"/>
    </i>
    <i r="1">
      <x v="9"/>
    </i>
    <i>
      <x v="174"/>
    </i>
    <i r="1">
      <x v="142"/>
    </i>
    <i>
      <x v="172"/>
    </i>
    <i r="1">
      <x v="23"/>
    </i>
    <i>
      <x v="59"/>
    </i>
    <i r="1">
      <x v="134"/>
    </i>
    <i>
      <x v="84"/>
    </i>
    <i r="1">
      <x v="11"/>
    </i>
    <i>
      <x v="173"/>
    </i>
    <i r="1">
      <x v="101"/>
    </i>
    <i>
      <x v="73"/>
    </i>
    <i r="1">
      <x v="125"/>
    </i>
    <i>
      <x v="134"/>
    </i>
    <i r="1">
      <x v="127"/>
    </i>
    <i>
      <x v="108"/>
    </i>
    <i r="1">
      <x v="158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0"/>
    <pageField fld="2" hier="0"/>
  </pageFields>
  <dataFields count="2">
    <dataField name="Стоимость покупок, руб." fld="9" baseField="6" baseItem="0" numFmtId="4"/>
    <dataField name="у.в., %" fld="9" showDataAs="percentOfTotal" baseField="6" baseItem="0" numFmtId="10"/>
  </dataFields>
  <formats count="9">
    <format dxfId="97">
      <pivotArea outline="0" collapsedLevelsAreSubtotals="1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outline="0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6" count="50">
            <x v="2"/>
            <x v="13"/>
            <x v="17"/>
            <x v="18"/>
            <x v="24"/>
            <x v="25"/>
            <x v="26"/>
            <x v="27"/>
            <x v="29"/>
            <x v="34"/>
            <x v="48"/>
            <x v="49"/>
            <x v="51"/>
            <x v="52"/>
            <x v="63"/>
            <x v="67"/>
            <x v="75"/>
            <x v="76"/>
            <x v="86"/>
            <x v="88"/>
            <x v="92"/>
            <x v="94"/>
            <x v="98"/>
            <x v="104"/>
            <x v="105"/>
            <x v="107"/>
            <x v="112"/>
            <x v="117"/>
            <x v="118"/>
            <x v="120"/>
            <x v="126"/>
            <x v="135"/>
            <x v="142"/>
            <x v="145"/>
            <x v="146"/>
            <x v="152"/>
            <x v="159"/>
            <x v="160"/>
            <x v="163"/>
            <x v="166"/>
            <x v="170"/>
            <x v="175"/>
            <x v="176"/>
            <x v="178"/>
            <x v="181"/>
            <x v="183"/>
            <x v="186"/>
            <x v="187"/>
            <x v="191"/>
            <x v="192"/>
          </reference>
        </references>
      </pivotArea>
    </format>
    <format dxfId="93">
      <pivotArea dataOnly="0" labelOnly="1" fieldPosition="0">
        <references count="1">
          <reference field="6" count="50">
            <x v="0"/>
            <x v="1"/>
            <x v="3"/>
            <x v="4"/>
            <x v="6"/>
            <x v="8"/>
            <x v="12"/>
            <x v="19"/>
            <x v="28"/>
            <x v="30"/>
            <x v="32"/>
            <x v="33"/>
            <x v="42"/>
            <x v="43"/>
            <x v="44"/>
            <x v="47"/>
            <x v="50"/>
            <x v="58"/>
            <x v="70"/>
            <x v="78"/>
            <x v="83"/>
            <x v="85"/>
            <x v="89"/>
            <x v="90"/>
            <x v="95"/>
            <x v="101"/>
            <x v="102"/>
            <x v="106"/>
            <x v="109"/>
            <x v="113"/>
            <x v="114"/>
            <x v="115"/>
            <x v="116"/>
            <x v="121"/>
            <x v="122"/>
            <x v="124"/>
            <x v="133"/>
            <x v="136"/>
            <x v="137"/>
            <x v="144"/>
            <x v="150"/>
            <x v="151"/>
            <x v="155"/>
            <x v="157"/>
            <x v="169"/>
            <x v="171"/>
            <x v="177"/>
            <x v="180"/>
            <x v="188"/>
            <x v="193"/>
          </reference>
        </references>
      </pivotArea>
    </format>
    <format dxfId="92">
      <pivotArea dataOnly="0" labelOnly="1" fieldPosition="0">
        <references count="1">
          <reference field="6" count="50">
            <x v="5"/>
            <x v="7"/>
            <x v="9"/>
            <x v="11"/>
            <x v="14"/>
            <x v="15"/>
            <x v="16"/>
            <x v="35"/>
            <x v="36"/>
            <x v="39"/>
            <x v="45"/>
            <x v="46"/>
            <x v="54"/>
            <x v="56"/>
            <x v="60"/>
            <x v="62"/>
            <x v="64"/>
            <x v="66"/>
            <x v="68"/>
            <x v="69"/>
            <x v="74"/>
            <x v="77"/>
            <x v="80"/>
            <x v="81"/>
            <x v="87"/>
            <x v="91"/>
            <x v="93"/>
            <x v="96"/>
            <x v="97"/>
            <x v="99"/>
            <x v="100"/>
            <x v="110"/>
            <x v="111"/>
            <x v="119"/>
            <x v="123"/>
            <x v="125"/>
            <x v="130"/>
            <x v="131"/>
            <x v="138"/>
            <x v="139"/>
            <x v="149"/>
            <x v="153"/>
            <x v="156"/>
            <x v="158"/>
            <x v="164"/>
            <x v="168"/>
            <x v="179"/>
            <x v="182"/>
            <x v="184"/>
            <x v="189"/>
          </reference>
        </references>
      </pivotArea>
    </format>
    <format dxfId="91">
      <pivotArea dataOnly="0" labelOnly="1" fieldPosition="0">
        <references count="1">
          <reference field="6" count="44">
            <x v="10"/>
            <x v="20"/>
            <x v="21"/>
            <x v="22"/>
            <x v="23"/>
            <x v="31"/>
            <x v="37"/>
            <x v="38"/>
            <x v="40"/>
            <x v="41"/>
            <x v="53"/>
            <x v="55"/>
            <x v="57"/>
            <x v="59"/>
            <x v="61"/>
            <x v="65"/>
            <x v="71"/>
            <x v="72"/>
            <x v="73"/>
            <x v="79"/>
            <x v="82"/>
            <x v="84"/>
            <x v="103"/>
            <x v="108"/>
            <x v="127"/>
            <x v="128"/>
            <x v="129"/>
            <x v="132"/>
            <x v="134"/>
            <x v="140"/>
            <x v="141"/>
            <x v="143"/>
            <x v="147"/>
            <x v="148"/>
            <x v="154"/>
            <x v="161"/>
            <x v="162"/>
            <x v="165"/>
            <x v="167"/>
            <x v="172"/>
            <x v="173"/>
            <x v="174"/>
            <x v="185"/>
            <x v="190"/>
          </reference>
        </references>
      </pivotArea>
    </format>
    <format dxfId="90">
      <pivotArea outline="0" collapsedLevelsAreSubtotals="1" fieldPosition="0"/>
    </format>
    <format dxfId="8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6"/>
  <sheetViews>
    <sheetView zoomScale="70" zoomScaleNormal="70" workbookViewId="0">
      <pane xSplit="2" topLeftCell="I1" activePane="topRight" state="frozen"/>
      <selection pane="topRight" activeCell="V16" sqref="J2:V16"/>
    </sheetView>
  </sheetViews>
  <sheetFormatPr defaultColWidth="9" defaultRowHeight="15"/>
  <cols>
    <col min="1" max="1" width="5.28515625" customWidth="1"/>
    <col min="2" max="2" width="27.140625" customWidth="1"/>
    <col min="3" max="3" width="15.85546875" customWidth="1"/>
    <col min="4" max="5" width="16.28515625" customWidth="1"/>
    <col min="6" max="6" width="15.5703125" customWidth="1"/>
    <col min="7" max="7" width="15.85546875" customWidth="1"/>
    <col min="8" max="9" width="16.28515625" customWidth="1"/>
    <col min="10" max="10" width="15.5703125" customWidth="1"/>
    <col min="11" max="11" width="15.85546875" customWidth="1"/>
    <col min="12" max="13" width="16.28515625" customWidth="1"/>
    <col min="14" max="14" width="15.5703125" customWidth="1"/>
    <col min="15" max="15" width="15.85546875" customWidth="1"/>
    <col min="16" max="17" width="16.28515625" customWidth="1"/>
    <col min="18" max="18" width="15.5703125" customWidth="1"/>
    <col min="19" max="19" width="15.85546875" customWidth="1"/>
    <col min="20" max="21" width="16.28515625" customWidth="1"/>
    <col min="22" max="22" width="17.42578125" customWidth="1"/>
  </cols>
  <sheetData>
    <row r="1" spans="2:22">
      <c r="B1" s="1" t="s">
        <v>0</v>
      </c>
    </row>
    <row r="2" spans="2:22">
      <c r="B2" s="22" t="s">
        <v>1</v>
      </c>
      <c r="C2" s="23" t="s">
        <v>2</v>
      </c>
      <c r="D2" s="23" t="s">
        <v>3</v>
      </c>
      <c r="E2" s="24" t="s">
        <v>4</v>
      </c>
      <c r="F2" s="25" t="s">
        <v>5</v>
      </c>
      <c r="G2" s="23" t="s">
        <v>6</v>
      </c>
      <c r="H2" s="23" t="s">
        <v>7</v>
      </c>
      <c r="I2" s="24" t="s">
        <v>8</v>
      </c>
      <c r="J2" s="25" t="s">
        <v>9</v>
      </c>
      <c r="K2" s="23" t="s">
        <v>10</v>
      </c>
      <c r="L2" s="23" t="s">
        <v>11</v>
      </c>
      <c r="M2" s="24" t="s">
        <v>12</v>
      </c>
      <c r="N2" s="23" t="s">
        <v>13</v>
      </c>
      <c r="O2" s="23" t="s">
        <v>14</v>
      </c>
      <c r="P2" s="23" t="s">
        <v>15</v>
      </c>
      <c r="Q2" s="23" t="s">
        <v>16</v>
      </c>
      <c r="R2" s="25" t="s">
        <v>17</v>
      </c>
      <c r="S2" s="23" t="s">
        <v>18</v>
      </c>
      <c r="T2" s="23" t="s">
        <v>19</v>
      </c>
      <c r="U2" s="24" t="s">
        <v>20</v>
      </c>
      <c r="V2" s="26" t="s">
        <v>21</v>
      </c>
    </row>
    <row r="3" spans="2:22" hidden="1">
      <c r="B3" s="27" t="s">
        <v>22</v>
      </c>
      <c r="C3" s="7"/>
      <c r="D3" s="7"/>
      <c r="E3" s="28"/>
      <c r="F3" s="29"/>
      <c r="G3" s="7"/>
      <c r="H3" s="7"/>
      <c r="I3" s="28"/>
      <c r="J3" s="29"/>
      <c r="K3" s="7"/>
      <c r="L3" s="7"/>
      <c r="M3" s="28"/>
      <c r="N3" s="7"/>
      <c r="O3" s="7"/>
      <c r="P3" s="7"/>
      <c r="Q3" s="7"/>
      <c r="R3" s="29"/>
      <c r="S3" s="7"/>
      <c r="T3" s="7"/>
      <c r="U3" s="28"/>
      <c r="V3" s="30"/>
    </row>
    <row r="4" spans="2:22" hidden="1">
      <c r="B4" s="27" t="s">
        <v>23</v>
      </c>
      <c r="C4" s="7"/>
      <c r="D4" s="7"/>
      <c r="E4" s="28"/>
      <c r="F4" s="29"/>
      <c r="G4" s="7"/>
      <c r="H4" s="7"/>
      <c r="I4" s="28"/>
      <c r="J4" s="29"/>
      <c r="K4" s="7"/>
      <c r="L4" s="7"/>
      <c r="M4" s="28"/>
      <c r="N4" s="7"/>
      <c r="O4" s="7"/>
      <c r="P4" s="7"/>
      <c r="Q4" s="7"/>
      <c r="R4" s="29"/>
      <c r="S4" s="7"/>
      <c r="T4" s="7"/>
      <c r="U4" s="28"/>
      <c r="V4" s="30"/>
    </row>
    <row r="5" spans="2:22">
      <c r="B5" s="27" t="s">
        <v>24</v>
      </c>
      <c r="C5" s="31">
        <v>116200</v>
      </c>
      <c r="D5" s="31">
        <v>2179402</v>
      </c>
      <c r="E5" s="32">
        <v>2371331</v>
      </c>
      <c r="F5" s="33">
        <v>3024740</v>
      </c>
      <c r="G5" s="31">
        <v>5841750.6799999997</v>
      </c>
      <c r="H5" s="31">
        <v>13535883.24</v>
      </c>
      <c r="I5" s="32">
        <v>5474646</v>
      </c>
      <c r="J5" s="33">
        <v>16463747</v>
      </c>
      <c r="K5" s="31">
        <v>16560499.98</v>
      </c>
      <c r="L5" s="31">
        <v>20979455.68</v>
      </c>
      <c r="M5" s="32">
        <v>23599626</v>
      </c>
      <c r="N5" s="31">
        <v>17509566.719999999</v>
      </c>
      <c r="O5" s="31">
        <v>25789203.850000001</v>
      </c>
      <c r="P5" s="31">
        <v>34363651.859999999</v>
      </c>
      <c r="Q5" s="31">
        <v>40877223.189999998</v>
      </c>
      <c r="R5" s="33">
        <v>33803320.079999998</v>
      </c>
      <c r="S5" s="31">
        <v>46655846.479999997</v>
      </c>
      <c r="T5" s="31">
        <v>20990513</v>
      </c>
      <c r="U5" s="32">
        <v>3350250</v>
      </c>
      <c r="V5" s="34">
        <f>SUM(C5:U5)</f>
        <v>333486856.75999999</v>
      </c>
    </row>
    <row r="6" spans="2:22">
      <c r="B6" s="27" t="s">
        <v>23</v>
      </c>
      <c r="C6" s="35">
        <v>19366.669999999998</v>
      </c>
      <c r="D6" s="35">
        <v>363233.69</v>
      </c>
      <c r="E6" s="36">
        <v>395221.82</v>
      </c>
      <c r="F6" s="37">
        <v>504123.33</v>
      </c>
      <c r="G6" s="35">
        <v>973591.61</v>
      </c>
      <c r="H6" s="35">
        <v>2255842.86</v>
      </c>
      <c r="I6" s="36">
        <v>912267.15</v>
      </c>
      <c r="J6" s="37">
        <v>2743928.02</v>
      </c>
      <c r="K6" s="35">
        <v>2759944.32</v>
      </c>
      <c r="L6" s="35">
        <v>3428656.44</v>
      </c>
      <c r="M6" s="36">
        <v>3921422.51</v>
      </c>
      <c r="N6" s="35">
        <v>2861446</v>
      </c>
      <c r="O6" s="35">
        <v>3872214.46</v>
      </c>
      <c r="P6" s="35">
        <v>5543746.6500000004</v>
      </c>
      <c r="Q6" s="35">
        <v>6799904.9000000004</v>
      </c>
      <c r="R6" s="37">
        <v>5647372.7400000002</v>
      </c>
      <c r="S6" s="35">
        <v>7783919.2699999996</v>
      </c>
      <c r="T6" s="35">
        <v>3514062</v>
      </c>
      <c r="U6" s="36">
        <v>410372.84</v>
      </c>
      <c r="V6" s="34">
        <f>SUM(C6:U6)</f>
        <v>54710637.280000001</v>
      </c>
    </row>
    <row r="7" spans="2:22">
      <c r="B7" s="22" t="s">
        <v>25</v>
      </c>
      <c r="C7" s="23" t="s">
        <v>2</v>
      </c>
      <c r="D7" s="23" t="s">
        <v>3</v>
      </c>
      <c r="E7" s="24" t="s">
        <v>4</v>
      </c>
      <c r="F7" s="25" t="s">
        <v>5</v>
      </c>
      <c r="G7" s="23" t="s">
        <v>6</v>
      </c>
      <c r="H7" s="23" t="s">
        <v>7</v>
      </c>
      <c r="I7" s="24" t="s">
        <v>8</v>
      </c>
      <c r="J7" s="25" t="s">
        <v>9</v>
      </c>
      <c r="K7" s="23" t="s">
        <v>10</v>
      </c>
      <c r="L7" s="23" t="s">
        <v>11</v>
      </c>
      <c r="M7" s="24" t="s">
        <v>12</v>
      </c>
      <c r="N7" s="23" t="s">
        <v>13</v>
      </c>
      <c r="O7" s="23" t="s">
        <v>14</v>
      </c>
      <c r="P7" s="23" t="s">
        <v>15</v>
      </c>
      <c r="Q7" s="23" t="s">
        <v>16</v>
      </c>
      <c r="R7" s="25" t="s">
        <v>17</v>
      </c>
      <c r="S7" s="23" t="s">
        <v>18</v>
      </c>
      <c r="T7" s="23" t="s">
        <v>19</v>
      </c>
      <c r="U7" s="24" t="s">
        <v>20</v>
      </c>
      <c r="V7" s="26" t="s">
        <v>21</v>
      </c>
    </row>
    <row r="8" spans="2:22" hidden="1">
      <c r="B8" s="27" t="s">
        <v>22</v>
      </c>
      <c r="C8" s="7"/>
      <c r="D8" s="7"/>
      <c r="E8" s="28"/>
      <c r="F8" s="29"/>
      <c r="G8" s="7"/>
      <c r="H8" s="7"/>
      <c r="I8" s="28"/>
      <c r="J8" s="29"/>
      <c r="K8" s="7"/>
      <c r="L8" s="7"/>
      <c r="M8" s="28"/>
      <c r="N8" s="7"/>
      <c r="O8" s="7"/>
      <c r="P8" s="7"/>
      <c r="Q8" s="7"/>
      <c r="R8" s="29"/>
      <c r="S8" s="7"/>
      <c r="T8" s="7"/>
      <c r="U8" s="28"/>
      <c r="V8" s="30"/>
    </row>
    <row r="9" spans="2:22" hidden="1">
      <c r="B9" s="27" t="s">
        <v>23</v>
      </c>
      <c r="C9" s="7"/>
      <c r="D9" s="7"/>
      <c r="E9" s="28"/>
      <c r="F9" s="29"/>
      <c r="G9" s="7"/>
      <c r="H9" s="7"/>
      <c r="I9" s="28"/>
      <c r="J9" s="29"/>
      <c r="K9" s="7"/>
      <c r="L9" s="7"/>
      <c r="M9" s="28"/>
      <c r="N9" s="7"/>
      <c r="O9" s="7"/>
      <c r="P9" s="7"/>
      <c r="Q9" s="7"/>
      <c r="R9" s="29"/>
      <c r="S9" s="7"/>
      <c r="T9" s="7"/>
      <c r="U9" s="28"/>
      <c r="V9" s="30"/>
    </row>
    <row r="10" spans="2:22">
      <c r="B10" s="27" t="s">
        <v>24</v>
      </c>
      <c r="C10" s="31">
        <v>585400</v>
      </c>
      <c r="D10" s="31">
        <v>2579860</v>
      </c>
      <c r="E10" s="32">
        <v>2578421</v>
      </c>
      <c r="F10" s="33">
        <v>3433081</v>
      </c>
      <c r="G10" s="31">
        <v>5910633</v>
      </c>
      <c r="H10" s="31">
        <v>13722076.300000001</v>
      </c>
      <c r="I10" s="32">
        <v>5535427</v>
      </c>
      <c r="J10" s="33">
        <v>16493422</v>
      </c>
      <c r="K10" s="31">
        <v>16774509</v>
      </c>
      <c r="L10" s="31">
        <v>21409137</v>
      </c>
      <c r="M10" s="32">
        <v>23807267</v>
      </c>
      <c r="N10" s="31">
        <v>17475588</v>
      </c>
      <c r="O10" s="31">
        <v>23606237</v>
      </c>
      <c r="P10" s="15">
        <v>33696888</v>
      </c>
      <c r="Q10" s="15">
        <v>41343575.5</v>
      </c>
      <c r="R10" s="33">
        <v>34375101</v>
      </c>
      <c r="S10" s="31">
        <v>47241202</v>
      </c>
      <c r="T10" s="15">
        <v>27850288.5</v>
      </c>
      <c r="U10" s="38">
        <v>12967256</v>
      </c>
      <c r="V10" s="34">
        <f>SUM(C10:U10)</f>
        <v>351385369.30000001</v>
      </c>
    </row>
    <row r="11" spans="2:22">
      <c r="B11" s="27" t="s">
        <v>23</v>
      </c>
      <c r="C11" s="35">
        <v>97566.67</v>
      </c>
      <c r="D11" s="35">
        <v>429976.67</v>
      </c>
      <c r="E11" s="36">
        <v>429736.85</v>
      </c>
      <c r="F11" s="37">
        <v>572180.17000000004</v>
      </c>
      <c r="G11" s="35">
        <v>985105.51</v>
      </c>
      <c r="H11" s="35">
        <v>2287012.7000000002</v>
      </c>
      <c r="I11" s="36">
        <v>922571.15</v>
      </c>
      <c r="J11" s="37">
        <v>2748903.64</v>
      </c>
      <c r="K11" s="35">
        <v>2795751.5</v>
      </c>
      <c r="L11" s="35">
        <v>3474260.68</v>
      </c>
      <c r="M11" s="36">
        <v>3967877.78</v>
      </c>
      <c r="N11" s="35">
        <v>2912598.01</v>
      </c>
      <c r="O11" s="35">
        <v>3934372.84</v>
      </c>
      <c r="P11" s="15">
        <v>5616147.9900000002</v>
      </c>
      <c r="Q11" s="15">
        <v>6890595.9299999997</v>
      </c>
      <c r="R11" s="37">
        <v>5729183.5199999996</v>
      </c>
      <c r="S11" s="35">
        <v>7873533.71</v>
      </c>
      <c r="T11" s="15">
        <v>4641714.76</v>
      </c>
      <c r="U11" s="38">
        <v>2161209.31</v>
      </c>
      <c r="V11" s="39">
        <f>SUM(C11:U11)</f>
        <v>58470299.390000001</v>
      </c>
    </row>
    <row r="12" spans="2:22">
      <c r="B12" s="40" t="s">
        <v>26</v>
      </c>
      <c r="C12" s="41">
        <f>ROUND(C11-C6,0)</f>
        <v>78200</v>
      </c>
      <c r="D12" s="41">
        <f>ROUND(D11-D6,0)</f>
        <v>66743</v>
      </c>
      <c r="E12" s="41">
        <f t="shared" ref="E12:H12" si="0">ROUND(E11-E6,0)</f>
        <v>34515</v>
      </c>
      <c r="F12" s="42">
        <f t="shared" si="0"/>
        <v>68057</v>
      </c>
      <c r="G12" s="41">
        <f t="shared" si="0"/>
        <v>11514</v>
      </c>
      <c r="H12" s="41">
        <f t="shared" si="0"/>
        <v>31170</v>
      </c>
      <c r="I12" s="43">
        <f t="shared" ref="I12:L12" si="1">ROUND(I11-I6,0)</f>
        <v>10304</v>
      </c>
      <c r="J12" s="42">
        <f t="shared" si="1"/>
        <v>4976</v>
      </c>
      <c r="K12" s="41">
        <f t="shared" si="1"/>
        <v>35807</v>
      </c>
      <c r="L12" s="41">
        <f t="shared" si="1"/>
        <v>45604</v>
      </c>
      <c r="M12" s="43">
        <f t="shared" ref="M12:T12" si="2">ROUND(M11-M6,0)</f>
        <v>46455</v>
      </c>
      <c r="N12" s="42">
        <f t="shared" si="2"/>
        <v>51152</v>
      </c>
      <c r="O12" s="41">
        <f t="shared" si="2"/>
        <v>62158</v>
      </c>
      <c r="P12" s="41">
        <f t="shared" si="2"/>
        <v>72401</v>
      </c>
      <c r="Q12" s="41">
        <f t="shared" si="2"/>
        <v>90691</v>
      </c>
      <c r="R12" s="42">
        <f t="shared" si="2"/>
        <v>81811</v>
      </c>
      <c r="S12" s="41">
        <f t="shared" si="2"/>
        <v>89614</v>
      </c>
      <c r="T12" s="41">
        <f t="shared" si="2"/>
        <v>1127653</v>
      </c>
      <c r="U12" s="43">
        <f t="shared" ref="U12" si="3">ROUND(U11-U6,0)</f>
        <v>1750836</v>
      </c>
    </row>
    <row r="13" spans="2:22">
      <c r="B13" s="44" t="s">
        <v>27</v>
      </c>
      <c r="C13" s="45">
        <f>C12/C11</f>
        <v>0.80150321826090798</v>
      </c>
      <c r="D13" s="45">
        <f>D12/D11</f>
        <v>0.15522470091226101</v>
      </c>
      <c r="E13" s="45">
        <f t="shared" ref="E13:H13" si="4">E12/E11</f>
        <v>8.0316593748011103E-2</v>
      </c>
      <c r="F13" s="45">
        <f t="shared" si="4"/>
        <v>0.11894330416938401</v>
      </c>
      <c r="G13" s="45">
        <f t="shared" si="4"/>
        <v>1.16880881114958E-2</v>
      </c>
      <c r="H13" s="45">
        <f t="shared" si="4"/>
        <v>1.3629132885882101E-2</v>
      </c>
      <c r="I13" s="45">
        <f t="shared" ref="I13:L13" si="5">I12/I11</f>
        <v>1.11687862773511E-2</v>
      </c>
      <c r="J13" s="45">
        <f t="shared" si="5"/>
        <v>1.8101762199274501E-3</v>
      </c>
      <c r="K13" s="45">
        <f t="shared" si="5"/>
        <v>1.28076476038732E-2</v>
      </c>
      <c r="L13" s="45">
        <f t="shared" si="5"/>
        <v>1.3126245898163301E-2</v>
      </c>
      <c r="M13" s="45">
        <f t="shared" ref="M13:T13" si="6">M12/M11</f>
        <v>1.1707769890029199E-2</v>
      </c>
      <c r="N13" s="45">
        <f t="shared" si="6"/>
        <v>1.75623274562355E-2</v>
      </c>
      <c r="O13" s="45">
        <f t="shared" si="6"/>
        <v>1.5798706052474701E-2</v>
      </c>
      <c r="P13" s="45">
        <f t="shared" si="6"/>
        <v>1.28915762420997E-2</v>
      </c>
      <c r="Q13" s="45">
        <f t="shared" si="6"/>
        <v>1.31615611946063E-2</v>
      </c>
      <c r="R13" s="45">
        <f t="shared" si="6"/>
        <v>1.4279696175625399E-2</v>
      </c>
      <c r="S13" s="45">
        <f t="shared" si="6"/>
        <v>1.1381674772813001E-2</v>
      </c>
      <c r="T13" s="45">
        <f t="shared" si="6"/>
        <v>0.24293888321564999</v>
      </c>
      <c r="U13" s="45">
        <f t="shared" ref="U13" si="7">U12/U11</f>
        <v>0.810118664536014</v>
      </c>
    </row>
    <row r="14" spans="2:22">
      <c r="B14" s="3"/>
    </row>
    <row r="15" spans="2:22" s="21" customFormat="1">
      <c r="B15" s="46" t="s">
        <v>28</v>
      </c>
      <c r="C15" s="46" t="s">
        <v>29</v>
      </c>
      <c r="D15" s="46" t="s">
        <v>29</v>
      </c>
      <c r="E15" s="46" t="s">
        <v>30</v>
      </c>
      <c r="F15" s="46" t="s">
        <v>31</v>
      </c>
      <c r="G15" s="46" t="s">
        <v>29</v>
      </c>
      <c r="H15" s="46" t="s">
        <v>31</v>
      </c>
      <c r="I15" s="46" t="s">
        <v>30</v>
      </c>
      <c r="J15" s="46" t="s">
        <v>29</v>
      </c>
      <c r="K15" s="46" t="s">
        <v>30</v>
      </c>
      <c r="L15" s="46" t="s">
        <v>29</v>
      </c>
      <c r="M15" s="46" t="s">
        <v>29</v>
      </c>
      <c r="N15" s="46" t="s">
        <v>29</v>
      </c>
      <c r="O15" s="46" t="s">
        <v>29</v>
      </c>
      <c r="P15" s="46" t="s">
        <v>29</v>
      </c>
      <c r="Q15" s="46" t="s">
        <v>29</v>
      </c>
      <c r="R15" s="46" t="s">
        <v>29</v>
      </c>
      <c r="S15" s="46" t="s">
        <v>30</v>
      </c>
      <c r="T15" s="46" t="s">
        <v>29</v>
      </c>
      <c r="U15" s="46" t="s">
        <v>29</v>
      </c>
    </row>
    <row r="16" spans="2:22" s="21" customFormat="1">
      <c r="B16" s="46" t="s">
        <v>32</v>
      </c>
      <c r="C16" s="47">
        <v>44400</v>
      </c>
      <c r="D16" s="47">
        <v>44494</v>
      </c>
      <c r="E16" s="47">
        <v>44587</v>
      </c>
      <c r="F16" s="47">
        <v>44684</v>
      </c>
      <c r="G16" s="47">
        <v>44767</v>
      </c>
      <c r="H16" s="47">
        <v>44966</v>
      </c>
      <c r="I16" s="47">
        <v>44979</v>
      </c>
      <c r="J16" s="47">
        <v>45040</v>
      </c>
      <c r="K16" s="47">
        <v>45135</v>
      </c>
      <c r="L16" s="47">
        <v>45224</v>
      </c>
      <c r="M16" s="47">
        <v>45314</v>
      </c>
      <c r="N16" s="47">
        <v>45405</v>
      </c>
      <c r="O16" s="47">
        <v>45496</v>
      </c>
      <c r="P16" s="47">
        <v>45586</v>
      </c>
      <c r="Q16" s="47">
        <v>45678</v>
      </c>
      <c r="R16" s="47">
        <v>45772</v>
      </c>
      <c r="S16" s="47">
        <v>45930</v>
      </c>
      <c r="T16" s="47">
        <v>45957</v>
      </c>
      <c r="U16" s="47">
        <v>46049</v>
      </c>
    </row>
  </sheetData>
  <pageMargins left="0.7" right="0.7" top="0.75" bottom="0.75" header="0.3" footer="0.3"/>
  <pageSetup paperSize="9" scale="3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08"/>
  <sheetViews>
    <sheetView zoomScale="80" zoomScaleNormal="80" workbookViewId="0">
      <pane ySplit="5" topLeftCell="A6" activePane="bottomLeft" state="frozen"/>
      <selection pane="bottomLeft" activeCell="J244" sqref="J244:J1204"/>
    </sheetView>
  </sheetViews>
  <sheetFormatPr defaultColWidth="8.85546875" defaultRowHeight="15"/>
  <cols>
    <col min="1" max="1" width="16.28515625" style="9" customWidth="1"/>
    <col min="2" max="2" width="11.7109375" style="9" customWidth="1"/>
    <col min="3" max="3" width="12.28515625" style="9" customWidth="1"/>
    <col min="4" max="4" width="16.85546875" style="9" customWidth="1"/>
    <col min="5" max="8" width="18" style="9" customWidth="1"/>
    <col min="9" max="9" width="31" style="9" customWidth="1"/>
    <col min="10" max="11" width="18" style="9" customWidth="1"/>
    <col min="12" max="12" width="31" style="9" customWidth="1"/>
    <col min="13" max="16384" width="8.85546875" style="10"/>
  </cols>
  <sheetData>
    <row r="1" spans="1:12" ht="14.45" customHeight="1">
      <c r="A1" s="53" t="s">
        <v>33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11"/>
    </row>
    <row r="2" spans="1:12" ht="14.45" customHeight="1">
      <c r="A2" s="12" t="s">
        <v>34</v>
      </c>
      <c r="B2" s="54" t="s">
        <v>35</v>
      </c>
      <c r="C2" s="54"/>
      <c r="D2" s="10" t="s">
        <v>36</v>
      </c>
      <c r="E2" s="10" t="s">
        <v>36</v>
      </c>
      <c r="F2" s="9" t="s">
        <v>36</v>
      </c>
      <c r="G2" s="9" t="s">
        <v>36</v>
      </c>
      <c r="H2" s="9" t="s">
        <v>36</v>
      </c>
      <c r="I2" s="9" t="s">
        <v>36</v>
      </c>
      <c r="J2" s="9" t="s">
        <v>36</v>
      </c>
      <c r="K2" s="9" t="s">
        <v>36</v>
      </c>
    </row>
    <row r="3" spans="1:12" ht="14.45" customHeight="1">
      <c r="A3" s="12" t="s">
        <v>37</v>
      </c>
      <c r="B3" s="55" t="s">
        <v>38</v>
      </c>
      <c r="C3" s="55"/>
      <c r="D3" s="10"/>
      <c r="E3" s="10" t="s">
        <v>36</v>
      </c>
      <c r="F3" s="9" t="s">
        <v>36</v>
      </c>
      <c r="G3" s="9" t="s">
        <v>36</v>
      </c>
      <c r="H3" s="9" t="s">
        <v>36</v>
      </c>
      <c r="I3" s="9" t="s">
        <v>36</v>
      </c>
      <c r="J3" s="9" t="s">
        <v>36</v>
      </c>
      <c r="K3" s="9" t="s">
        <v>36</v>
      </c>
    </row>
    <row r="4" spans="1:12" ht="37.9" customHeight="1">
      <c r="A4" s="13" t="s">
        <v>36</v>
      </c>
      <c r="B4" s="13"/>
      <c r="C4" s="13" t="s">
        <v>36</v>
      </c>
      <c r="D4" s="56" t="s">
        <v>39</v>
      </c>
      <c r="E4" s="56" t="s">
        <v>36</v>
      </c>
      <c r="F4" s="13" t="s">
        <v>36</v>
      </c>
      <c r="G4" s="56" t="s">
        <v>40</v>
      </c>
      <c r="H4" s="56" t="s">
        <v>36</v>
      </c>
      <c r="I4" s="56" t="s">
        <v>36</v>
      </c>
      <c r="J4" s="13" t="s">
        <v>36</v>
      </c>
      <c r="K4" s="13" t="s">
        <v>36</v>
      </c>
      <c r="L4" s="14"/>
    </row>
    <row r="5" spans="1:12" ht="58.15" customHeight="1">
      <c r="A5" s="14" t="s">
        <v>41</v>
      </c>
      <c r="B5" s="14" t="s">
        <v>42</v>
      </c>
      <c r="C5" s="14" t="s">
        <v>43</v>
      </c>
      <c r="D5" s="14" t="s">
        <v>44</v>
      </c>
      <c r="E5" s="14" t="s">
        <v>45</v>
      </c>
      <c r="F5" s="14" t="s">
        <v>46</v>
      </c>
      <c r="G5" s="14" t="s">
        <v>47</v>
      </c>
      <c r="H5" s="14" t="s">
        <v>48</v>
      </c>
      <c r="I5" s="14" t="s">
        <v>37</v>
      </c>
      <c r="J5" s="14" t="s">
        <v>49</v>
      </c>
      <c r="K5" s="14" t="s">
        <v>50</v>
      </c>
      <c r="L5" s="14" t="s">
        <v>51</v>
      </c>
    </row>
    <row r="6" spans="1:12">
      <c r="A6" s="9">
        <v>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55</v>
      </c>
      <c r="G6" s="9" t="s">
        <v>56</v>
      </c>
      <c r="H6" s="9" t="s">
        <v>57</v>
      </c>
      <c r="I6" s="9" t="s">
        <v>58</v>
      </c>
      <c r="J6" s="15">
        <v>114000</v>
      </c>
      <c r="K6" s="15">
        <v>19000</v>
      </c>
    </row>
    <row r="7" spans="1:12">
      <c r="A7" s="9">
        <f t="shared" ref="A7:A70" si="0">A6+1</f>
        <v>2</v>
      </c>
      <c r="B7" s="9" t="s">
        <v>52</v>
      </c>
      <c r="C7" s="9" t="s">
        <v>53</v>
      </c>
      <c r="D7" s="9" t="s">
        <v>59</v>
      </c>
      <c r="E7" s="9" t="s">
        <v>60</v>
      </c>
      <c r="F7" s="9" t="s">
        <v>60</v>
      </c>
      <c r="G7" s="9" t="s">
        <v>61</v>
      </c>
      <c r="H7" s="9" t="s">
        <v>62</v>
      </c>
      <c r="I7" s="9" t="s">
        <v>63</v>
      </c>
      <c r="J7" s="15">
        <v>2200</v>
      </c>
      <c r="K7" s="15">
        <v>366.67</v>
      </c>
    </row>
    <row r="8" spans="1:12">
      <c r="A8" s="9">
        <f t="shared" si="0"/>
        <v>3</v>
      </c>
      <c r="B8" s="9" t="s">
        <v>64</v>
      </c>
      <c r="C8" s="9" t="s">
        <v>53</v>
      </c>
      <c r="D8" s="9" t="s">
        <v>65</v>
      </c>
      <c r="E8" s="9" t="s">
        <v>66</v>
      </c>
      <c r="F8" s="9" t="s">
        <v>66</v>
      </c>
      <c r="G8" s="9" t="s">
        <v>67</v>
      </c>
      <c r="H8" s="9" t="s">
        <v>68</v>
      </c>
      <c r="I8" s="9" t="s">
        <v>69</v>
      </c>
      <c r="J8" s="15">
        <v>3450</v>
      </c>
      <c r="K8" s="15">
        <v>575</v>
      </c>
    </row>
    <row r="9" spans="1:12">
      <c r="A9" s="9">
        <f t="shared" si="0"/>
        <v>4</v>
      </c>
      <c r="B9" s="9" t="s">
        <v>64</v>
      </c>
      <c r="C9" s="9" t="s">
        <v>53</v>
      </c>
      <c r="D9" s="9" t="s">
        <v>70</v>
      </c>
      <c r="E9" s="9" t="s">
        <v>66</v>
      </c>
      <c r="F9" s="9" t="s">
        <v>66</v>
      </c>
      <c r="G9" s="9" t="s">
        <v>56</v>
      </c>
      <c r="H9" s="9" t="s">
        <v>57</v>
      </c>
      <c r="I9" s="9" t="s">
        <v>58</v>
      </c>
      <c r="J9" s="15">
        <v>414000</v>
      </c>
      <c r="K9" s="15">
        <v>69000</v>
      </c>
    </row>
    <row r="10" spans="1:12">
      <c r="A10" s="9">
        <f t="shared" si="0"/>
        <v>5</v>
      </c>
      <c r="B10" s="9" t="s">
        <v>64</v>
      </c>
      <c r="C10" s="9" t="s">
        <v>71</v>
      </c>
      <c r="D10" s="9" t="s">
        <v>72</v>
      </c>
      <c r="E10" s="9" t="s">
        <v>73</v>
      </c>
      <c r="F10" s="9" t="s">
        <v>36</v>
      </c>
      <c r="G10" s="9" t="s">
        <v>74</v>
      </c>
      <c r="H10" s="9" t="s">
        <v>75</v>
      </c>
      <c r="I10" s="9" t="s">
        <v>38</v>
      </c>
      <c r="J10" s="15">
        <v>360500</v>
      </c>
      <c r="K10" s="15">
        <v>60083.34</v>
      </c>
    </row>
    <row r="11" spans="1:12">
      <c r="A11" s="9">
        <f t="shared" si="0"/>
        <v>6</v>
      </c>
      <c r="B11" s="9" t="s">
        <v>64</v>
      </c>
      <c r="C11" s="9" t="s">
        <v>53</v>
      </c>
      <c r="D11" s="9" t="s">
        <v>76</v>
      </c>
      <c r="E11" s="9" t="s">
        <v>77</v>
      </c>
      <c r="F11" s="9" t="s">
        <v>77</v>
      </c>
      <c r="G11" s="9" t="s">
        <v>78</v>
      </c>
      <c r="H11" s="9" t="s">
        <v>79</v>
      </c>
      <c r="I11" s="9" t="s">
        <v>80</v>
      </c>
      <c r="J11" s="15">
        <v>11000</v>
      </c>
      <c r="K11" s="15">
        <v>1833.33</v>
      </c>
    </row>
    <row r="12" spans="1:12">
      <c r="A12" s="9">
        <f t="shared" si="0"/>
        <v>7</v>
      </c>
      <c r="B12" s="9" t="s">
        <v>64</v>
      </c>
      <c r="C12" s="9" t="s">
        <v>53</v>
      </c>
      <c r="D12" s="9" t="s">
        <v>81</v>
      </c>
      <c r="E12" s="9" t="s">
        <v>82</v>
      </c>
      <c r="F12" s="9" t="s">
        <v>82</v>
      </c>
      <c r="G12" s="9" t="s">
        <v>83</v>
      </c>
      <c r="H12" s="9" t="s">
        <v>84</v>
      </c>
      <c r="I12" s="9" t="s">
        <v>85</v>
      </c>
      <c r="J12" s="15">
        <v>630</v>
      </c>
      <c r="K12" s="15">
        <v>105</v>
      </c>
    </row>
    <row r="13" spans="1:12">
      <c r="A13" s="9">
        <f t="shared" si="0"/>
        <v>8</v>
      </c>
      <c r="B13" s="9" t="s">
        <v>64</v>
      </c>
      <c r="C13" s="9" t="s">
        <v>53</v>
      </c>
      <c r="D13" s="9" t="s">
        <v>86</v>
      </c>
      <c r="E13" s="9" t="s">
        <v>87</v>
      </c>
      <c r="F13" s="9" t="s">
        <v>87</v>
      </c>
      <c r="G13" s="9" t="s">
        <v>88</v>
      </c>
      <c r="H13" s="9" t="s">
        <v>89</v>
      </c>
      <c r="I13" s="9" t="s">
        <v>90</v>
      </c>
      <c r="J13" s="15">
        <v>360000</v>
      </c>
      <c r="K13" s="15">
        <v>60000</v>
      </c>
    </row>
    <row r="14" spans="1:12">
      <c r="A14" s="9">
        <f t="shared" si="0"/>
        <v>9</v>
      </c>
      <c r="B14" s="9" t="s">
        <v>64</v>
      </c>
      <c r="C14" s="9" t="s">
        <v>53</v>
      </c>
      <c r="D14" s="9" t="s">
        <v>91</v>
      </c>
      <c r="E14" s="9" t="s">
        <v>87</v>
      </c>
      <c r="F14" s="9" t="s">
        <v>87</v>
      </c>
      <c r="G14" s="9" t="s">
        <v>92</v>
      </c>
      <c r="H14" s="9" t="s">
        <v>93</v>
      </c>
      <c r="I14" s="9" t="s">
        <v>94</v>
      </c>
      <c r="J14" s="15">
        <v>2590</v>
      </c>
      <c r="K14" s="15">
        <v>431.67</v>
      </c>
    </row>
    <row r="15" spans="1:12">
      <c r="A15" s="9">
        <f t="shared" si="0"/>
        <v>10</v>
      </c>
      <c r="B15" s="9" t="s">
        <v>64</v>
      </c>
      <c r="C15" s="9" t="s">
        <v>53</v>
      </c>
      <c r="D15" s="9" t="s">
        <v>95</v>
      </c>
      <c r="E15" s="9" t="s">
        <v>96</v>
      </c>
      <c r="F15" s="9" t="s">
        <v>96</v>
      </c>
      <c r="G15" s="9" t="s">
        <v>97</v>
      </c>
      <c r="H15" s="9" t="s">
        <v>98</v>
      </c>
      <c r="I15" s="9" t="s">
        <v>99</v>
      </c>
      <c r="J15" s="15">
        <v>55000</v>
      </c>
      <c r="K15" s="15">
        <v>9166.67</v>
      </c>
    </row>
    <row r="16" spans="1:12">
      <c r="A16" s="9">
        <f t="shared" si="0"/>
        <v>11</v>
      </c>
      <c r="B16" s="9" t="s">
        <v>64</v>
      </c>
      <c r="C16" s="9" t="s">
        <v>53</v>
      </c>
      <c r="D16" s="9" t="s">
        <v>100</v>
      </c>
      <c r="E16" s="9" t="s">
        <v>101</v>
      </c>
      <c r="F16" s="9" t="s">
        <v>101</v>
      </c>
      <c r="G16" s="9" t="s">
        <v>102</v>
      </c>
      <c r="H16" s="9" t="s">
        <v>103</v>
      </c>
      <c r="I16" s="9" t="s">
        <v>104</v>
      </c>
      <c r="J16" s="15">
        <v>2302</v>
      </c>
      <c r="K16" s="15">
        <v>383.66</v>
      </c>
    </row>
    <row r="17" spans="1:11">
      <c r="A17" s="9">
        <f t="shared" si="0"/>
        <v>12</v>
      </c>
      <c r="B17" s="9" t="s">
        <v>64</v>
      </c>
      <c r="C17" s="9" t="s">
        <v>53</v>
      </c>
      <c r="D17" s="9" t="s">
        <v>105</v>
      </c>
      <c r="E17" s="9" t="s">
        <v>101</v>
      </c>
      <c r="F17" s="9" t="s">
        <v>101</v>
      </c>
      <c r="G17" s="9" t="s">
        <v>102</v>
      </c>
      <c r="H17" s="9" t="s">
        <v>103</v>
      </c>
      <c r="I17" s="9" t="s">
        <v>104</v>
      </c>
      <c r="J17" s="15">
        <v>888</v>
      </c>
      <c r="K17" s="15">
        <v>148</v>
      </c>
    </row>
    <row r="18" spans="1:11">
      <c r="A18" s="9">
        <f t="shared" si="0"/>
        <v>13</v>
      </c>
      <c r="B18" s="9" t="s">
        <v>64</v>
      </c>
      <c r="C18" s="9" t="s">
        <v>53</v>
      </c>
      <c r="D18" s="9" t="s">
        <v>106</v>
      </c>
      <c r="E18" s="9" t="s">
        <v>101</v>
      </c>
      <c r="F18" s="9" t="s">
        <v>101</v>
      </c>
      <c r="G18" s="9" t="s">
        <v>102</v>
      </c>
      <c r="H18" s="9" t="s">
        <v>103</v>
      </c>
      <c r="I18" s="9" t="s">
        <v>104</v>
      </c>
      <c r="J18" s="15">
        <v>4458</v>
      </c>
      <c r="K18" s="15">
        <v>743</v>
      </c>
    </row>
    <row r="19" spans="1:11">
      <c r="A19" s="9">
        <f t="shared" si="0"/>
        <v>14</v>
      </c>
      <c r="B19" s="9" t="s">
        <v>64</v>
      </c>
      <c r="C19" s="9" t="s">
        <v>71</v>
      </c>
      <c r="D19" s="9" t="s">
        <v>107</v>
      </c>
      <c r="E19" s="9" t="s">
        <v>108</v>
      </c>
      <c r="F19" s="9" t="s">
        <v>36</v>
      </c>
      <c r="G19" s="9" t="s">
        <v>74</v>
      </c>
      <c r="H19" s="9" t="s">
        <v>75</v>
      </c>
      <c r="I19" s="9" t="s">
        <v>38</v>
      </c>
      <c r="J19" s="15">
        <v>6400</v>
      </c>
      <c r="K19" s="15">
        <v>1066.67</v>
      </c>
    </row>
    <row r="20" spans="1:11">
      <c r="A20" s="9">
        <f t="shared" si="0"/>
        <v>15</v>
      </c>
      <c r="B20" s="9" t="s">
        <v>64</v>
      </c>
      <c r="C20" s="9" t="s">
        <v>53</v>
      </c>
      <c r="D20" s="9" t="s">
        <v>109</v>
      </c>
      <c r="E20" s="9" t="s">
        <v>110</v>
      </c>
      <c r="F20" s="9" t="s">
        <v>110</v>
      </c>
      <c r="G20" s="9" t="s">
        <v>78</v>
      </c>
      <c r="H20" s="9" t="s">
        <v>79</v>
      </c>
      <c r="I20" s="9" t="s">
        <v>80</v>
      </c>
      <c r="J20" s="15">
        <v>13000</v>
      </c>
      <c r="K20" s="15">
        <v>2166.67</v>
      </c>
    </row>
    <row r="21" spans="1:11">
      <c r="A21" s="9">
        <f t="shared" si="0"/>
        <v>16</v>
      </c>
      <c r="B21" s="9" t="s">
        <v>64</v>
      </c>
      <c r="C21" s="9" t="s">
        <v>53</v>
      </c>
      <c r="D21" s="9" t="s">
        <v>111</v>
      </c>
      <c r="E21" s="9" t="s">
        <v>112</v>
      </c>
      <c r="F21" s="9" t="s">
        <v>112</v>
      </c>
      <c r="G21" s="9" t="s">
        <v>113</v>
      </c>
      <c r="H21" s="9" t="s">
        <v>114</v>
      </c>
      <c r="I21" s="9" t="s">
        <v>115</v>
      </c>
      <c r="J21" s="15">
        <v>72000</v>
      </c>
      <c r="K21" s="15">
        <v>12000</v>
      </c>
    </row>
    <row r="22" spans="1:11">
      <c r="A22" s="9">
        <f t="shared" si="0"/>
        <v>17</v>
      </c>
      <c r="B22" s="9" t="s">
        <v>64</v>
      </c>
      <c r="C22" s="9" t="s">
        <v>71</v>
      </c>
      <c r="D22" s="9" t="s">
        <v>116</v>
      </c>
      <c r="E22" s="9" t="s">
        <v>77</v>
      </c>
      <c r="F22" s="9" t="s">
        <v>36</v>
      </c>
      <c r="G22" s="9" t="s">
        <v>74</v>
      </c>
      <c r="H22" s="9" t="s">
        <v>75</v>
      </c>
      <c r="I22" s="9" t="s">
        <v>38</v>
      </c>
      <c r="J22" s="15">
        <v>278000</v>
      </c>
      <c r="K22" s="15">
        <v>46333.33</v>
      </c>
    </row>
    <row r="23" spans="1:11">
      <c r="A23" s="9">
        <f t="shared" si="0"/>
        <v>18</v>
      </c>
      <c r="B23" s="9" t="s">
        <v>64</v>
      </c>
      <c r="C23" s="9" t="s">
        <v>53</v>
      </c>
      <c r="D23" s="9" t="s">
        <v>117</v>
      </c>
      <c r="E23" s="9" t="s">
        <v>118</v>
      </c>
      <c r="F23" s="9" t="s">
        <v>118</v>
      </c>
      <c r="G23" s="9" t="s">
        <v>102</v>
      </c>
      <c r="H23" s="9" t="s">
        <v>103</v>
      </c>
      <c r="I23" s="9" t="s">
        <v>104</v>
      </c>
      <c r="J23" s="15">
        <v>1349</v>
      </c>
      <c r="K23" s="15">
        <v>224.83</v>
      </c>
    </row>
    <row r="24" spans="1:11">
      <c r="A24" s="9">
        <f t="shared" si="0"/>
        <v>19</v>
      </c>
      <c r="B24" s="9" t="s">
        <v>64</v>
      </c>
      <c r="C24" s="9" t="s">
        <v>53</v>
      </c>
      <c r="D24" s="9" t="s">
        <v>119</v>
      </c>
      <c r="E24" s="9" t="s">
        <v>118</v>
      </c>
      <c r="F24" s="9" t="s">
        <v>118</v>
      </c>
      <c r="G24" s="9" t="s">
        <v>102</v>
      </c>
      <c r="H24" s="9" t="s">
        <v>103</v>
      </c>
      <c r="I24" s="9" t="s">
        <v>104</v>
      </c>
      <c r="J24" s="15">
        <v>25390</v>
      </c>
      <c r="K24" s="15">
        <v>4231.67</v>
      </c>
    </row>
    <row r="25" spans="1:11">
      <c r="A25" s="9">
        <f t="shared" si="0"/>
        <v>20</v>
      </c>
      <c r="B25" s="9" t="s">
        <v>64</v>
      </c>
      <c r="C25" s="9" t="s">
        <v>53</v>
      </c>
      <c r="D25" s="9" t="s">
        <v>120</v>
      </c>
      <c r="E25" s="9" t="s">
        <v>121</v>
      </c>
      <c r="F25" s="9" t="s">
        <v>121</v>
      </c>
      <c r="G25" s="9" t="s">
        <v>61</v>
      </c>
      <c r="H25" s="9" t="s">
        <v>62</v>
      </c>
      <c r="I25" s="9" t="s">
        <v>63</v>
      </c>
      <c r="J25" s="15">
        <v>2200</v>
      </c>
      <c r="K25" s="15">
        <v>366.67</v>
      </c>
    </row>
    <row r="26" spans="1:11">
      <c r="A26" s="9">
        <f t="shared" si="0"/>
        <v>21</v>
      </c>
      <c r="B26" s="9" t="s">
        <v>64</v>
      </c>
      <c r="C26" s="9" t="s">
        <v>53</v>
      </c>
      <c r="D26" s="9" t="s">
        <v>122</v>
      </c>
      <c r="E26" s="9" t="s">
        <v>123</v>
      </c>
      <c r="F26" s="9" t="s">
        <v>123</v>
      </c>
      <c r="G26" s="9" t="s">
        <v>124</v>
      </c>
      <c r="H26" s="9" t="s">
        <v>125</v>
      </c>
      <c r="I26" s="9" t="s">
        <v>126</v>
      </c>
      <c r="J26" s="15">
        <v>121260</v>
      </c>
      <c r="K26" s="15">
        <v>20210</v>
      </c>
    </row>
    <row r="27" spans="1:11" ht="30">
      <c r="A27" s="9">
        <f t="shared" si="0"/>
        <v>22</v>
      </c>
      <c r="B27" s="9" t="s">
        <v>64</v>
      </c>
      <c r="C27" s="9" t="s">
        <v>53</v>
      </c>
      <c r="D27" s="9" t="s">
        <v>127</v>
      </c>
      <c r="E27" s="9" t="s">
        <v>128</v>
      </c>
      <c r="F27" s="9" t="s">
        <v>128</v>
      </c>
      <c r="G27" s="9" t="s">
        <v>129</v>
      </c>
      <c r="H27" s="9" t="s">
        <v>130</v>
      </c>
      <c r="I27" s="9" t="s">
        <v>131</v>
      </c>
      <c r="J27" s="15">
        <v>208950</v>
      </c>
      <c r="K27" s="15">
        <v>34825</v>
      </c>
    </row>
    <row r="28" spans="1:11" ht="30">
      <c r="A28" s="9">
        <f t="shared" si="0"/>
        <v>23</v>
      </c>
      <c r="B28" s="9" t="s">
        <v>64</v>
      </c>
      <c r="C28" s="9" t="s">
        <v>53</v>
      </c>
      <c r="D28" s="9" t="s">
        <v>132</v>
      </c>
      <c r="E28" s="9" t="s">
        <v>133</v>
      </c>
      <c r="F28" s="9" t="s">
        <v>133</v>
      </c>
      <c r="G28" s="9" t="s">
        <v>134</v>
      </c>
      <c r="H28" s="9" t="s">
        <v>135</v>
      </c>
      <c r="I28" s="9" t="s">
        <v>136</v>
      </c>
      <c r="J28" s="15">
        <v>19000</v>
      </c>
      <c r="K28" s="15">
        <v>3166.67</v>
      </c>
    </row>
    <row r="29" spans="1:11">
      <c r="A29" s="9">
        <f t="shared" si="0"/>
        <v>24</v>
      </c>
      <c r="B29" s="9" t="s">
        <v>64</v>
      </c>
      <c r="C29" s="9" t="s">
        <v>53</v>
      </c>
      <c r="D29" s="9" t="s">
        <v>137</v>
      </c>
      <c r="E29" s="9" t="s">
        <v>133</v>
      </c>
      <c r="F29" s="9" t="s">
        <v>133</v>
      </c>
      <c r="G29" s="9" t="s">
        <v>138</v>
      </c>
      <c r="H29" s="9" t="s">
        <v>139</v>
      </c>
      <c r="I29" s="9" t="s">
        <v>140</v>
      </c>
      <c r="J29" s="15">
        <v>121500</v>
      </c>
      <c r="K29" s="15">
        <v>20250</v>
      </c>
    </row>
    <row r="30" spans="1:11">
      <c r="A30" s="9">
        <f t="shared" si="0"/>
        <v>25</v>
      </c>
      <c r="B30" s="9" t="s">
        <v>64</v>
      </c>
      <c r="C30" s="9" t="s">
        <v>53</v>
      </c>
      <c r="D30" s="9" t="s">
        <v>141</v>
      </c>
      <c r="E30" s="9" t="s">
        <v>142</v>
      </c>
      <c r="F30" s="9" t="s">
        <v>142</v>
      </c>
      <c r="G30" s="9" t="s">
        <v>67</v>
      </c>
      <c r="H30" s="9" t="s">
        <v>68</v>
      </c>
      <c r="I30" s="9" t="s">
        <v>69</v>
      </c>
      <c r="J30" s="15">
        <v>4775</v>
      </c>
      <c r="K30" s="15">
        <v>795.84</v>
      </c>
    </row>
    <row r="31" spans="1:11">
      <c r="A31" s="9">
        <f t="shared" si="0"/>
        <v>26</v>
      </c>
      <c r="B31" s="9" t="s">
        <v>64</v>
      </c>
      <c r="C31" s="9" t="s">
        <v>53</v>
      </c>
      <c r="D31" s="9" t="s">
        <v>143</v>
      </c>
      <c r="E31" s="9" t="s">
        <v>144</v>
      </c>
      <c r="F31" s="9" t="s">
        <v>144</v>
      </c>
      <c r="G31" s="9" t="s">
        <v>145</v>
      </c>
      <c r="H31" s="9" t="s">
        <v>146</v>
      </c>
      <c r="I31" s="9" t="s">
        <v>147</v>
      </c>
      <c r="J31" s="15">
        <v>10500</v>
      </c>
      <c r="K31" s="15">
        <v>1750</v>
      </c>
    </row>
    <row r="32" spans="1:11" ht="30">
      <c r="A32" s="9">
        <f t="shared" si="0"/>
        <v>27</v>
      </c>
      <c r="B32" s="9" t="s">
        <v>64</v>
      </c>
      <c r="C32" s="9" t="s">
        <v>53</v>
      </c>
      <c r="D32" s="9" t="s">
        <v>148</v>
      </c>
      <c r="E32" s="9" t="s">
        <v>149</v>
      </c>
      <c r="F32" s="9" t="s">
        <v>149</v>
      </c>
      <c r="G32" s="9" t="s">
        <v>150</v>
      </c>
      <c r="H32" s="9" t="s">
        <v>36</v>
      </c>
      <c r="I32" s="9" t="s">
        <v>151</v>
      </c>
      <c r="J32" s="15">
        <v>52060</v>
      </c>
      <c r="K32" s="15">
        <v>8676.67</v>
      </c>
    </row>
    <row r="33" spans="1:11">
      <c r="A33" s="9">
        <f t="shared" si="0"/>
        <v>28</v>
      </c>
      <c r="B33" s="9" t="s">
        <v>64</v>
      </c>
      <c r="C33" s="9" t="s">
        <v>53</v>
      </c>
      <c r="D33" s="9" t="s">
        <v>152</v>
      </c>
      <c r="E33" s="9" t="s">
        <v>149</v>
      </c>
      <c r="F33" s="9" t="s">
        <v>149</v>
      </c>
      <c r="G33" s="9" t="s">
        <v>78</v>
      </c>
      <c r="H33" s="9" t="s">
        <v>79</v>
      </c>
      <c r="I33" s="9" t="s">
        <v>80</v>
      </c>
      <c r="J33" s="15">
        <v>13800</v>
      </c>
      <c r="K33" s="15">
        <v>2300</v>
      </c>
    </row>
    <row r="34" spans="1:11">
      <c r="A34" s="9">
        <f t="shared" si="0"/>
        <v>29</v>
      </c>
      <c r="B34" s="9" t="s">
        <v>64</v>
      </c>
      <c r="C34" s="9" t="s">
        <v>53</v>
      </c>
      <c r="D34" s="9" t="s">
        <v>153</v>
      </c>
      <c r="E34" s="9" t="s">
        <v>154</v>
      </c>
      <c r="F34" s="9" t="s">
        <v>154</v>
      </c>
      <c r="G34" s="9" t="s">
        <v>78</v>
      </c>
      <c r="H34" s="9" t="s">
        <v>79</v>
      </c>
      <c r="I34" s="9" t="s">
        <v>80</v>
      </c>
      <c r="J34" s="15">
        <v>14400</v>
      </c>
      <c r="K34" s="15">
        <v>2400</v>
      </c>
    </row>
    <row r="35" spans="1:11">
      <c r="A35" s="9">
        <f t="shared" si="0"/>
        <v>30</v>
      </c>
      <c r="B35" s="9" t="s">
        <v>155</v>
      </c>
      <c r="C35" s="9" t="s">
        <v>53</v>
      </c>
      <c r="D35" s="9" t="s">
        <v>156</v>
      </c>
      <c r="E35" s="9" t="s">
        <v>157</v>
      </c>
      <c r="F35" s="9" t="s">
        <v>157</v>
      </c>
      <c r="G35" s="9" t="s">
        <v>158</v>
      </c>
      <c r="H35" s="9" t="s">
        <v>159</v>
      </c>
      <c r="I35" s="9" t="s">
        <v>160</v>
      </c>
      <c r="J35" s="15">
        <v>12000</v>
      </c>
      <c r="K35" s="15">
        <v>2000</v>
      </c>
    </row>
    <row r="36" spans="1:11">
      <c r="A36" s="9">
        <f t="shared" si="0"/>
        <v>31</v>
      </c>
      <c r="B36" s="9" t="s">
        <v>155</v>
      </c>
      <c r="C36" s="9" t="s">
        <v>53</v>
      </c>
      <c r="D36" s="9" t="s">
        <v>161</v>
      </c>
      <c r="E36" s="9" t="s">
        <v>157</v>
      </c>
      <c r="F36" s="9" t="s">
        <v>157</v>
      </c>
      <c r="G36" s="9" t="s">
        <v>162</v>
      </c>
      <c r="H36" s="9" t="s">
        <v>163</v>
      </c>
      <c r="I36" s="9" t="s">
        <v>164</v>
      </c>
      <c r="J36" s="15">
        <v>90350</v>
      </c>
      <c r="K36" s="15">
        <v>15058.33</v>
      </c>
    </row>
    <row r="37" spans="1:11" ht="30">
      <c r="A37" s="9">
        <f t="shared" si="0"/>
        <v>32</v>
      </c>
      <c r="B37" s="9" t="s">
        <v>155</v>
      </c>
      <c r="C37" s="9" t="s">
        <v>53</v>
      </c>
      <c r="D37" s="9" t="s">
        <v>165</v>
      </c>
      <c r="E37" s="9" t="s">
        <v>166</v>
      </c>
      <c r="F37" s="9" t="s">
        <v>166</v>
      </c>
      <c r="G37" s="9" t="s">
        <v>167</v>
      </c>
      <c r="H37" s="9" t="s">
        <v>36</v>
      </c>
      <c r="I37" s="9" t="s">
        <v>168</v>
      </c>
      <c r="J37" s="15">
        <v>496761</v>
      </c>
      <c r="K37" s="15">
        <v>82793.5</v>
      </c>
    </row>
    <row r="38" spans="1:11">
      <c r="A38" s="9">
        <f t="shared" si="0"/>
        <v>33</v>
      </c>
      <c r="B38" s="9" t="s">
        <v>155</v>
      </c>
      <c r="C38" s="9" t="s">
        <v>53</v>
      </c>
      <c r="D38" s="9" t="s">
        <v>169</v>
      </c>
      <c r="E38" s="9" t="s">
        <v>166</v>
      </c>
      <c r="F38" s="9" t="s">
        <v>166</v>
      </c>
      <c r="G38" s="9" t="s">
        <v>170</v>
      </c>
      <c r="H38" s="9" t="s">
        <v>171</v>
      </c>
      <c r="I38" s="9" t="s">
        <v>172</v>
      </c>
      <c r="J38" s="15">
        <v>215000</v>
      </c>
      <c r="K38" s="15">
        <v>35833.33</v>
      </c>
    </row>
    <row r="39" spans="1:11" ht="30">
      <c r="A39" s="9">
        <f t="shared" si="0"/>
        <v>34</v>
      </c>
      <c r="B39" s="9" t="s">
        <v>155</v>
      </c>
      <c r="C39" s="9" t="s">
        <v>53</v>
      </c>
      <c r="D39" s="9" t="s">
        <v>173</v>
      </c>
      <c r="E39" s="9" t="s">
        <v>166</v>
      </c>
      <c r="F39" s="9" t="s">
        <v>166</v>
      </c>
      <c r="G39" s="9" t="s">
        <v>174</v>
      </c>
      <c r="H39" s="9" t="s">
        <v>175</v>
      </c>
      <c r="I39" s="9" t="s">
        <v>176</v>
      </c>
      <c r="J39" s="15">
        <v>37000</v>
      </c>
      <c r="K39" s="15">
        <v>6166.67</v>
      </c>
    </row>
    <row r="40" spans="1:11">
      <c r="A40" s="9">
        <f t="shared" si="0"/>
        <v>35</v>
      </c>
      <c r="B40" s="9" t="s">
        <v>155</v>
      </c>
      <c r="C40" s="9" t="s">
        <v>53</v>
      </c>
      <c r="D40" s="9" t="s">
        <v>177</v>
      </c>
      <c r="E40" s="9" t="s">
        <v>178</v>
      </c>
      <c r="F40" s="9" t="s">
        <v>178</v>
      </c>
      <c r="G40" s="9" t="s">
        <v>179</v>
      </c>
      <c r="H40" s="9" t="s">
        <v>180</v>
      </c>
      <c r="I40" s="9" t="s">
        <v>181</v>
      </c>
      <c r="J40" s="15">
        <v>13800</v>
      </c>
      <c r="K40" s="15">
        <v>2300</v>
      </c>
    </row>
    <row r="41" spans="1:11">
      <c r="A41" s="9">
        <f t="shared" si="0"/>
        <v>36</v>
      </c>
      <c r="B41" s="9" t="s">
        <v>155</v>
      </c>
      <c r="C41" s="9" t="s">
        <v>53</v>
      </c>
      <c r="D41" s="9" t="s">
        <v>182</v>
      </c>
      <c r="E41" s="9" t="s">
        <v>183</v>
      </c>
      <c r="F41" s="9" t="s">
        <v>183</v>
      </c>
      <c r="G41" s="9" t="s">
        <v>124</v>
      </c>
      <c r="H41" s="9" t="s">
        <v>125</v>
      </c>
      <c r="I41" s="9" t="s">
        <v>126</v>
      </c>
      <c r="J41" s="15">
        <v>42000</v>
      </c>
      <c r="K41" s="15">
        <v>7000</v>
      </c>
    </row>
    <row r="42" spans="1:11">
      <c r="A42" s="9">
        <f t="shared" si="0"/>
        <v>37</v>
      </c>
      <c r="B42" s="9" t="s">
        <v>155</v>
      </c>
      <c r="C42" s="9" t="s">
        <v>53</v>
      </c>
      <c r="D42" s="9" t="s">
        <v>184</v>
      </c>
      <c r="E42" s="9" t="s">
        <v>185</v>
      </c>
      <c r="F42" s="9" t="s">
        <v>185</v>
      </c>
      <c r="G42" s="9" t="s">
        <v>102</v>
      </c>
      <c r="H42" s="9" t="s">
        <v>103</v>
      </c>
      <c r="I42" s="9" t="s">
        <v>104</v>
      </c>
      <c r="J42" s="15">
        <v>1002</v>
      </c>
      <c r="K42" s="15">
        <v>167</v>
      </c>
    </row>
    <row r="43" spans="1:11">
      <c r="A43" s="9">
        <f t="shared" si="0"/>
        <v>38</v>
      </c>
      <c r="B43" s="9" t="s">
        <v>155</v>
      </c>
      <c r="C43" s="9" t="s">
        <v>53</v>
      </c>
      <c r="D43" s="9" t="s">
        <v>71</v>
      </c>
      <c r="E43" s="9" t="s">
        <v>186</v>
      </c>
      <c r="F43" s="9" t="s">
        <v>186</v>
      </c>
      <c r="G43" s="9" t="s">
        <v>179</v>
      </c>
      <c r="H43" s="9" t="s">
        <v>180</v>
      </c>
      <c r="I43" s="9" t="s">
        <v>181</v>
      </c>
      <c r="J43" s="15">
        <v>15200</v>
      </c>
      <c r="K43" s="15">
        <v>2533.33</v>
      </c>
    </row>
    <row r="44" spans="1:11">
      <c r="A44" s="9">
        <f t="shared" si="0"/>
        <v>39</v>
      </c>
      <c r="B44" s="9" t="s">
        <v>155</v>
      </c>
      <c r="C44" s="9" t="s">
        <v>53</v>
      </c>
      <c r="D44" s="9" t="s">
        <v>187</v>
      </c>
      <c r="E44" s="9" t="s">
        <v>188</v>
      </c>
      <c r="F44" s="9" t="s">
        <v>188</v>
      </c>
      <c r="G44" s="9" t="s">
        <v>102</v>
      </c>
      <c r="H44" s="9" t="s">
        <v>103</v>
      </c>
      <c r="I44" s="9" t="s">
        <v>104</v>
      </c>
      <c r="J44" s="15">
        <v>992</v>
      </c>
      <c r="K44" s="15">
        <v>165.33</v>
      </c>
    </row>
    <row r="45" spans="1:11">
      <c r="A45" s="9">
        <f t="shared" si="0"/>
        <v>40</v>
      </c>
      <c r="B45" s="9" t="s">
        <v>155</v>
      </c>
      <c r="C45" s="9" t="s">
        <v>53</v>
      </c>
      <c r="D45" s="9" t="s">
        <v>71</v>
      </c>
      <c r="E45" s="9" t="s">
        <v>189</v>
      </c>
      <c r="F45" s="9" t="s">
        <v>189</v>
      </c>
      <c r="G45" s="9" t="s">
        <v>124</v>
      </c>
      <c r="H45" s="9" t="s">
        <v>125</v>
      </c>
      <c r="I45" s="9" t="s">
        <v>126</v>
      </c>
      <c r="J45" s="15">
        <v>27000</v>
      </c>
      <c r="K45" s="15">
        <v>4500</v>
      </c>
    </row>
    <row r="46" spans="1:11">
      <c r="A46" s="9">
        <f t="shared" si="0"/>
        <v>41</v>
      </c>
      <c r="B46" s="9" t="s">
        <v>155</v>
      </c>
      <c r="C46" s="9" t="s">
        <v>53</v>
      </c>
      <c r="D46" s="9" t="s">
        <v>190</v>
      </c>
      <c r="E46" s="9" t="s">
        <v>191</v>
      </c>
      <c r="F46" s="9" t="s">
        <v>191</v>
      </c>
      <c r="G46" s="9" t="s">
        <v>102</v>
      </c>
      <c r="H46" s="9" t="s">
        <v>103</v>
      </c>
      <c r="I46" s="9" t="s">
        <v>104</v>
      </c>
      <c r="J46" s="15">
        <v>1776</v>
      </c>
      <c r="K46" s="15">
        <v>296</v>
      </c>
    </row>
    <row r="47" spans="1:11">
      <c r="A47" s="9">
        <f t="shared" si="0"/>
        <v>42</v>
      </c>
      <c r="B47" s="9" t="s">
        <v>155</v>
      </c>
      <c r="C47" s="9" t="s">
        <v>53</v>
      </c>
      <c r="D47" s="9" t="s">
        <v>192</v>
      </c>
      <c r="E47" s="9" t="s">
        <v>193</v>
      </c>
      <c r="F47" s="9" t="s">
        <v>193</v>
      </c>
      <c r="G47" s="9" t="s">
        <v>194</v>
      </c>
      <c r="H47" s="9" t="s">
        <v>195</v>
      </c>
      <c r="I47" s="9" t="s">
        <v>196</v>
      </c>
      <c r="J47" s="15">
        <v>162610</v>
      </c>
      <c r="K47" s="15">
        <v>27101.67</v>
      </c>
    </row>
    <row r="48" spans="1:11">
      <c r="A48" s="9">
        <f t="shared" si="0"/>
        <v>43</v>
      </c>
      <c r="B48" s="9" t="s">
        <v>155</v>
      </c>
      <c r="C48" s="9" t="s">
        <v>53</v>
      </c>
      <c r="D48" s="9" t="s">
        <v>197</v>
      </c>
      <c r="E48" s="9" t="s">
        <v>193</v>
      </c>
      <c r="F48" s="9" t="s">
        <v>193</v>
      </c>
      <c r="G48" s="9" t="s">
        <v>194</v>
      </c>
      <c r="H48" s="9" t="s">
        <v>195</v>
      </c>
      <c r="I48" s="9" t="s">
        <v>196</v>
      </c>
      <c r="J48" s="15">
        <v>139840</v>
      </c>
      <c r="K48" s="15">
        <v>23306.67</v>
      </c>
    </row>
    <row r="49" spans="1:11">
      <c r="A49" s="9">
        <f t="shared" si="0"/>
        <v>44</v>
      </c>
      <c r="B49" s="9" t="s">
        <v>155</v>
      </c>
      <c r="C49" s="9" t="s">
        <v>71</v>
      </c>
      <c r="D49" s="9" t="s">
        <v>198</v>
      </c>
      <c r="E49" s="9" t="s">
        <v>166</v>
      </c>
      <c r="F49" s="9" t="s">
        <v>36</v>
      </c>
      <c r="G49" s="9" t="s">
        <v>74</v>
      </c>
      <c r="H49" s="9" t="s">
        <v>75</v>
      </c>
      <c r="I49" s="9" t="s">
        <v>38</v>
      </c>
      <c r="J49" s="15">
        <v>656000</v>
      </c>
      <c r="K49" s="15">
        <v>109333.33</v>
      </c>
    </row>
    <row r="50" spans="1:11">
      <c r="A50" s="9">
        <f t="shared" si="0"/>
        <v>45</v>
      </c>
      <c r="B50" s="9" t="s">
        <v>155</v>
      </c>
      <c r="C50" s="9" t="s">
        <v>53</v>
      </c>
      <c r="D50" s="9" t="s">
        <v>199</v>
      </c>
      <c r="E50" s="9" t="s">
        <v>193</v>
      </c>
      <c r="F50" s="9" t="s">
        <v>193</v>
      </c>
      <c r="G50" s="9" t="s">
        <v>179</v>
      </c>
      <c r="H50" s="9" t="s">
        <v>180</v>
      </c>
      <c r="I50" s="9" t="s">
        <v>181</v>
      </c>
      <c r="J50" s="15">
        <v>20000</v>
      </c>
      <c r="K50" s="15">
        <v>3333.33</v>
      </c>
    </row>
    <row r="51" spans="1:11">
      <c r="A51" s="9">
        <f t="shared" si="0"/>
        <v>46</v>
      </c>
      <c r="B51" s="9" t="s">
        <v>155</v>
      </c>
      <c r="C51" s="9" t="s">
        <v>53</v>
      </c>
      <c r="D51" s="9" t="s">
        <v>200</v>
      </c>
      <c r="E51" s="9" t="s">
        <v>201</v>
      </c>
      <c r="F51" s="9" t="s">
        <v>201</v>
      </c>
      <c r="G51" s="9" t="s">
        <v>56</v>
      </c>
      <c r="H51" s="9" t="s">
        <v>57</v>
      </c>
      <c r="I51" s="9" t="s">
        <v>58</v>
      </c>
      <c r="J51" s="15">
        <v>440000</v>
      </c>
      <c r="K51" s="15">
        <v>73333.33</v>
      </c>
    </row>
    <row r="52" spans="1:11">
      <c r="A52" s="9">
        <f t="shared" si="0"/>
        <v>47</v>
      </c>
      <c r="B52" s="9" t="s">
        <v>202</v>
      </c>
      <c r="C52" s="9" t="s">
        <v>71</v>
      </c>
      <c r="D52" s="9" t="s">
        <v>203</v>
      </c>
      <c r="E52" s="9" t="s">
        <v>204</v>
      </c>
      <c r="F52" s="9" t="s">
        <v>36</v>
      </c>
      <c r="G52" s="9" t="s">
        <v>74</v>
      </c>
      <c r="H52" s="9" t="s">
        <v>75</v>
      </c>
      <c r="I52" s="9" t="s">
        <v>38</v>
      </c>
      <c r="J52" s="15">
        <v>31400</v>
      </c>
      <c r="K52" s="15">
        <v>5233.34</v>
      </c>
    </row>
    <row r="53" spans="1:11">
      <c r="A53" s="9">
        <f t="shared" si="0"/>
        <v>48</v>
      </c>
      <c r="B53" s="9" t="s">
        <v>202</v>
      </c>
      <c r="C53" s="9" t="s">
        <v>53</v>
      </c>
      <c r="D53" s="9" t="s">
        <v>205</v>
      </c>
      <c r="E53" s="9" t="s">
        <v>206</v>
      </c>
      <c r="F53" s="9" t="s">
        <v>206</v>
      </c>
      <c r="G53" s="9" t="s">
        <v>207</v>
      </c>
      <c r="H53" s="9" t="s">
        <v>208</v>
      </c>
      <c r="I53" s="9" t="s">
        <v>209</v>
      </c>
      <c r="J53" s="15">
        <v>4000</v>
      </c>
      <c r="K53" s="15">
        <v>666.67</v>
      </c>
    </row>
    <row r="54" spans="1:11">
      <c r="A54" s="9">
        <f t="shared" si="0"/>
        <v>49</v>
      </c>
      <c r="B54" s="9" t="s">
        <v>202</v>
      </c>
      <c r="C54" s="9" t="s">
        <v>71</v>
      </c>
      <c r="D54" s="9" t="s">
        <v>210</v>
      </c>
      <c r="E54" s="9" t="s">
        <v>211</v>
      </c>
      <c r="F54" s="9" t="s">
        <v>36</v>
      </c>
      <c r="G54" s="9" t="s">
        <v>74</v>
      </c>
      <c r="H54" s="9" t="s">
        <v>75</v>
      </c>
      <c r="I54" s="9" t="s">
        <v>38</v>
      </c>
      <c r="J54" s="15">
        <v>80000</v>
      </c>
      <c r="K54" s="15">
        <v>13333.33</v>
      </c>
    </row>
    <row r="55" spans="1:11">
      <c r="A55" s="9">
        <f t="shared" si="0"/>
        <v>50</v>
      </c>
      <c r="B55" s="9" t="s">
        <v>202</v>
      </c>
      <c r="C55" s="9" t="s">
        <v>71</v>
      </c>
      <c r="D55" s="9" t="s">
        <v>212</v>
      </c>
      <c r="E55" s="9" t="s">
        <v>213</v>
      </c>
      <c r="F55" s="9" t="s">
        <v>36</v>
      </c>
      <c r="G55" s="9" t="s">
        <v>74</v>
      </c>
      <c r="H55" s="9" t="s">
        <v>75</v>
      </c>
      <c r="I55" s="9" t="s">
        <v>38</v>
      </c>
      <c r="J55" s="15">
        <v>160000</v>
      </c>
      <c r="K55" s="15">
        <v>26666.67</v>
      </c>
    </row>
    <row r="56" spans="1:11">
      <c r="A56" s="9">
        <f t="shared" si="0"/>
        <v>51</v>
      </c>
      <c r="B56" s="9" t="s">
        <v>202</v>
      </c>
      <c r="C56" s="9" t="s">
        <v>53</v>
      </c>
      <c r="D56" s="9" t="s">
        <v>214</v>
      </c>
      <c r="E56" s="9" t="s">
        <v>215</v>
      </c>
      <c r="F56" s="9" t="s">
        <v>215</v>
      </c>
      <c r="G56" s="9" t="s">
        <v>216</v>
      </c>
      <c r="H56" s="9" t="s">
        <v>217</v>
      </c>
      <c r="I56" s="9" t="s">
        <v>218</v>
      </c>
      <c r="J56" s="15">
        <v>155700</v>
      </c>
      <c r="K56" s="15">
        <v>25950</v>
      </c>
    </row>
    <row r="57" spans="1:11">
      <c r="A57" s="9">
        <f t="shared" si="0"/>
        <v>52</v>
      </c>
      <c r="B57" s="9" t="s">
        <v>202</v>
      </c>
      <c r="C57" s="9" t="s">
        <v>53</v>
      </c>
      <c r="D57" s="9" t="s">
        <v>219</v>
      </c>
      <c r="E57" s="9" t="s">
        <v>220</v>
      </c>
      <c r="F57" s="9" t="s">
        <v>220</v>
      </c>
      <c r="G57" s="9" t="s">
        <v>221</v>
      </c>
      <c r="H57" s="9" t="s">
        <v>222</v>
      </c>
      <c r="I57" s="9" t="s">
        <v>223</v>
      </c>
      <c r="J57" s="15">
        <v>389540</v>
      </c>
      <c r="K57" s="15">
        <v>64923.33</v>
      </c>
    </row>
    <row r="58" spans="1:11">
      <c r="A58" s="9">
        <f t="shared" si="0"/>
        <v>53</v>
      </c>
      <c r="B58" s="9" t="s">
        <v>202</v>
      </c>
      <c r="C58" s="9" t="s">
        <v>71</v>
      </c>
      <c r="D58" s="9" t="s">
        <v>224</v>
      </c>
      <c r="E58" s="9" t="s">
        <v>225</v>
      </c>
      <c r="F58" s="9" t="s">
        <v>36</v>
      </c>
      <c r="G58" s="9" t="s">
        <v>74</v>
      </c>
      <c r="H58" s="9" t="s">
        <v>75</v>
      </c>
      <c r="I58" s="9" t="s">
        <v>38</v>
      </c>
      <c r="J58" s="15">
        <v>160000</v>
      </c>
      <c r="K58" s="15">
        <v>26666.67</v>
      </c>
    </row>
    <row r="59" spans="1:11">
      <c r="A59" s="9">
        <f t="shared" si="0"/>
        <v>54</v>
      </c>
      <c r="B59" s="9" t="s">
        <v>202</v>
      </c>
      <c r="C59" s="9" t="s">
        <v>71</v>
      </c>
      <c r="D59" s="9" t="s">
        <v>107</v>
      </c>
      <c r="E59" s="9" t="s">
        <v>226</v>
      </c>
      <c r="F59" s="9" t="s">
        <v>36</v>
      </c>
      <c r="G59" s="9" t="s">
        <v>74</v>
      </c>
      <c r="H59" s="9" t="s">
        <v>75</v>
      </c>
      <c r="I59" s="9" t="s">
        <v>38</v>
      </c>
      <c r="J59" s="15">
        <v>324000</v>
      </c>
      <c r="K59" s="15">
        <v>54000</v>
      </c>
    </row>
    <row r="60" spans="1:11">
      <c r="A60" s="9">
        <f t="shared" si="0"/>
        <v>55</v>
      </c>
      <c r="B60" s="9" t="s">
        <v>202</v>
      </c>
      <c r="C60" s="9" t="s">
        <v>53</v>
      </c>
      <c r="D60" s="9" t="s">
        <v>227</v>
      </c>
      <c r="E60" s="9" t="s">
        <v>228</v>
      </c>
      <c r="F60" s="9" t="s">
        <v>228</v>
      </c>
      <c r="G60" s="9" t="s">
        <v>102</v>
      </c>
      <c r="H60" s="9" t="s">
        <v>103</v>
      </c>
      <c r="I60" s="9" t="s">
        <v>104</v>
      </c>
      <c r="J60" s="15">
        <v>2360</v>
      </c>
      <c r="K60" s="15">
        <v>393.33</v>
      </c>
    </row>
    <row r="61" spans="1:11">
      <c r="A61" s="9">
        <f t="shared" si="0"/>
        <v>56</v>
      </c>
      <c r="B61" s="9" t="s">
        <v>202</v>
      </c>
      <c r="C61" s="9" t="s">
        <v>53</v>
      </c>
      <c r="D61" s="9" t="s">
        <v>229</v>
      </c>
      <c r="E61" s="9" t="s">
        <v>230</v>
      </c>
      <c r="F61" s="9" t="s">
        <v>231</v>
      </c>
      <c r="G61" s="9" t="s">
        <v>232</v>
      </c>
      <c r="H61" s="9" t="s">
        <v>233</v>
      </c>
      <c r="I61" s="9" t="s">
        <v>234</v>
      </c>
      <c r="J61" s="15">
        <v>28000</v>
      </c>
      <c r="K61" s="15">
        <v>4666.67</v>
      </c>
    </row>
    <row r="62" spans="1:11">
      <c r="A62" s="9">
        <f t="shared" si="0"/>
        <v>57</v>
      </c>
      <c r="B62" s="9" t="s">
        <v>202</v>
      </c>
      <c r="C62" s="9" t="s">
        <v>71</v>
      </c>
      <c r="D62" s="9" t="s">
        <v>116</v>
      </c>
      <c r="E62" s="9" t="s">
        <v>235</v>
      </c>
      <c r="F62" s="9" t="s">
        <v>36</v>
      </c>
      <c r="G62" s="9" t="s">
        <v>74</v>
      </c>
      <c r="H62" s="9" t="s">
        <v>75</v>
      </c>
      <c r="I62" s="9" t="s">
        <v>38</v>
      </c>
      <c r="J62" s="15">
        <v>81000</v>
      </c>
      <c r="K62" s="15">
        <v>13500</v>
      </c>
    </row>
    <row r="63" spans="1:11">
      <c r="A63" s="9">
        <f t="shared" si="0"/>
        <v>58</v>
      </c>
      <c r="B63" s="9" t="s">
        <v>202</v>
      </c>
      <c r="C63" s="9" t="s">
        <v>53</v>
      </c>
      <c r="D63" s="9" t="s">
        <v>236</v>
      </c>
      <c r="E63" s="9" t="s">
        <v>237</v>
      </c>
      <c r="F63" s="9" t="s">
        <v>237</v>
      </c>
      <c r="G63" s="9" t="s">
        <v>238</v>
      </c>
      <c r="H63" s="9" t="s">
        <v>239</v>
      </c>
      <c r="I63" s="9" t="s">
        <v>240</v>
      </c>
      <c r="J63" s="15">
        <v>190465</v>
      </c>
      <c r="K63" s="15">
        <v>31744.17</v>
      </c>
    </row>
    <row r="64" spans="1:11">
      <c r="A64" s="9">
        <f t="shared" si="0"/>
        <v>59</v>
      </c>
      <c r="B64" s="9" t="s">
        <v>202</v>
      </c>
      <c r="C64" s="9" t="s">
        <v>53</v>
      </c>
      <c r="D64" s="9" t="s">
        <v>241</v>
      </c>
      <c r="E64" s="9" t="s">
        <v>242</v>
      </c>
      <c r="F64" s="9" t="s">
        <v>242</v>
      </c>
      <c r="G64" s="9" t="s">
        <v>102</v>
      </c>
      <c r="H64" s="9" t="s">
        <v>103</v>
      </c>
      <c r="I64" s="9" t="s">
        <v>104</v>
      </c>
      <c r="J64" s="15">
        <v>28375</v>
      </c>
      <c r="K64" s="15">
        <v>4729.16</v>
      </c>
    </row>
    <row r="65" spans="1:11">
      <c r="A65" s="9">
        <f t="shared" si="0"/>
        <v>60</v>
      </c>
      <c r="B65" s="9" t="s">
        <v>202</v>
      </c>
      <c r="C65" s="9" t="s">
        <v>71</v>
      </c>
      <c r="D65" s="9" t="s">
        <v>72</v>
      </c>
      <c r="E65" s="9" t="s">
        <v>243</v>
      </c>
      <c r="F65" s="9" t="s">
        <v>36</v>
      </c>
      <c r="G65" s="9" t="s">
        <v>74</v>
      </c>
      <c r="H65" s="9" t="s">
        <v>75</v>
      </c>
      <c r="I65" s="9" t="s">
        <v>38</v>
      </c>
      <c r="J65" s="15">
        <v>350000</v>
      </c>
      <c r="K65" s="15">
        <v>58333.33</v>
      </c>
    </row>
    <row r="66" spans="1:11">
      <c r="A66" s="9">
        <f t="shared" si="0"/>
        <v>61</v>
      </c>
      <c r="B66" s="9" t="s">
        <v>202</v>
      </c>
      <c r="C66" s="9" t="s">
        <v>71</v>
      </c>
      <c r="D66" s="9" t="s">
        <v>198</v>
      </c>
      <c r="E66" s="9" t="s">
        <v>244</v>
      </c>
      <c r="F66" s="9" t="s">
        <v>36</v>
      </c>
      <c r="G66" s="9" t="s">
        <v>74</v>
      </c>
      <c r="H66" s="9" t="s">
        <v>75</v>
      </c>
      <c r="I66" s="9" t="s">
        <v>38</v>
      </c>
      <c r="J66" s="15">
        <v>81000</v>
      </c>
      <c r="K66" s="15">
        <v>13500</v>
      </c>
    </row>
    <row r="67" spans="1:11">
      <c r="A67" s="9">
        <f t="shared" si="0"/>
        <v>62</v>
      </c>
      <c r="B67" s="9" t="s">
        <v>202</v>
      </c>
      <c r="C67" s="9" t="s">
        <v>53</v>
      </c>
      <c r="D67" s="9" t="s">
        <v>236</v>
      </c>
      <c r="E67" s="9" t="s">
        <v>245</v>
      </c>
      <c r="F67" s="9" t="s">
        <v>245</v>
      </c>
      <c r="G67" s="9" t="s">
        <v>124</v>
      </c>
      <c r="H67" s="9" t="s">
        <v>125</v>
      </c>
      <c r="I67" s="9" t="s">
        <v>126</v>
      </c>
      <c r="J67" s="15">
        <v>33761</v>
      </c>
      <c r="K67" s="15">
        <v>5626.83</v>
      </c>
    </row>
    <row r="68" spans="1:11">
      <c r="A68" s="9">
        <f t="shared" si="0"/>
        <v>63</v>
      </c>
      <c r="B68" s="9" t="s">
        <v>202</v>
      </c>
      <c r="C68" s="9" t="s">
        <v>53</v>
      </c>
      <c r="D68" s="9" t="s">
        <v>246</v>
      </c>
      <c r="E68" s="9" t="s">
        <v>245</v>
      </c>
      <c r="F68" s="9" t="s">
        <v>245</v>
      </c>
      <c r="G68" s="9" t="s">
        <v>194</v>
      </c>
      <c r="H68" s="9" t="s">
        <v>195</v>
      </c>
      <c r="I68" s="9" t="s">
        <v>196</v>
      </c>
      <c r="J68" s="15">
        <v>26400</v>
      </c>
      <c r="K68" s="15">
        <v>4400</v>
      </c>
    </row>
    <row r="69" spans="1:11">
      <c r="A69" s="9">
        <f t="shared" si="0"/>
        <v>64</v>
      </c>
      <c r="B69" s="9" t="s">
        <v>202</v>
      </c>
      <c r="C69" s="9" t="s">
        <v>53</v>
      </c>
      <c r="D69" s="9" t="s">
        <v>247</v>
      </c>
      <c r="E69" s="9" t="s">
        <v>248</v>
      </c>
      <c r="F69" s="9" t="s">
        <v>248</v>
      </c>
      <c r="G69" s="9" t="s">
        <v>221</v>
      </c>
      <c r="H69" s="9" t="s">
        <v>222</v>
      </c>
      <c r="I69" s="9" t="s">
        <v>223</v>
      </c>
      <c r="J69" s="15">
        <v>419626</v>
      </c>
      <c r="K69" s="15">
        <v>69937.67</v>
      </c>
    </row>
    <row r="70" spans="1:11">
      <c r="A70" s="9">
        <f t="shared" si="0"/>
        <v>65</v>
      </c>
      <c r="B70" s="9" t="s">
        <v>202</v>
      </c>
      <c r="C70" s="9" t="s">
        <v>71</v>
      </c>
      <c r="D70" s="9" t="s">
        <v>203</v>
      </c>
      <c r="E70" s="9" t="s">
        <v>249</v>
      </c>
      <c r="F70" s="9" t="s">
        <v>36</v>
      </c>
      <c r="G70" s="9" t="s">
        <v>74</v>
      </c>
      <c r="H70" s="9" t="s">
        <v>75</v>
      </c>
      <c r="I70" s="9" t="s">
        <v>38</v>
      </c>
      <c r="J70" s="15">
        <v>73062</v>
      </c>
      <c r="K70" s="15">
        <v>12177</v>
      </c>
    </row>
    <row r="71" spans="1:11">
      <c r="A71" s="9">
        <f t="shared" ref="A71:A134" si="1">A70+1</f>
        <v>66</v>
      </c>
      <c r="B71" s="9" t="s">
        <v>202</v>
      </c>
      <c r="C71" s="9" t="s">
        <v>71</v>
      </c>
      <c r="D71" s="9" t="s">
        <v>210</v>
      </c>
      <c r="E71" s="9" t="s">
        <v>250</v>
      </c>
      <c r="F71" s="9" t="s">
        <v>36</v>
      </c>
      <c r="G71" s="9" t="s">
        <v>74</v>
      </c>
      <c r="H71" s="9" t="s">
        <v>75</v>
      </c>
      <c r="I71" s="9" t="s">
        <v>38</v>
      </c>
      <c r="J71" s="15">
        <v>82000</v>
      </c>
      <c r="K71" s="15">
        <v>13666.67</v>
      </c>
    </row>
    <row r="72" spans="1:11">
      <c r="A72" s="9">
        <f t="shared" si="1"/>
        <v>67</v>
      </c>
      <c r="B72" s="9" t="s">
        <v>202</v>
      </c>
      <c r="C72" s="9" t="s">
        <v>53</v>
      </c>
      <c r="D72" s="9" t="s">
        <v>251</v>
      </c>
      <c r="E72" s="9" t="s">
        <v>252</v>
      </c>
      <c r="F72" s="9" t="s">
        <v>252</v>
      </c>
      <c r="G72" s="9" t="s">
        <v>102</v>
      </c>
      <c r="H72" s="9" t="s">
        <v>103</v>
      </c>
      <c r="I72" s="9" t="s">
        <v>104</v>
      </c>
      <c r="J72" s="15">
        <v>4059</v>
      </c>
      <c r="K72" s="15">
        <v>676.5</v>
      </c>
    </row>
    <row r="73" spans="1:11">
      <c r="A73" s="9">
        <f t="shared" si="1"/>
        <v>68</v>
      </c>
      <c r="B73" s="9" t="s">
        <v>202</v>
      </c>
      <c r="C73" s="9" t="s">
        <v>53</v>
      </c>
      <c r="D73" s="9" t="s">
        <v>253</v>
      </c>
      <c r="E73" s="9" t="s">
        <v>254</v>
      </c>
      <c r="F73" s="9" t="s">
        <v>254</v>
      </c>
      <c r="G73" s="9" t="s">
        <v>194</v>
      </c>
      <c r="H73" s="9" t="s">
        <v>195</v>
      </c>
      <c r="I73" s="9" t="s">
        <v>196</v>
      </c>
      <c r="J73" s="15">
        <v>21312</v>
      </c>
      <c r="K73" s="15">
        <v>3552</v>
      </c>
    </row>
    <row r="74" spans="1:11">
      <c r="A74" s="9">
        <f t="shared" si="1"/>
        <v>69</v>
      </c>
      <c r="B74" s="9" t="s">
        <v>202</v>
      </c>
      <c r="C74" s="9" t="s">
        <v>255</v>
      </c>
      <c r="D74" s="9" t="s">
        <v>256</v>
      </c>
      <c r="E74" s="9" t="s">
        <v>257</v>
      </c>
      <c r="F74" s="9" t="s">
        <v>36</v>
      </c>
      <c r="G74" s="9" t="s">
        <v>258</v>
      </c>
      <c r="H74" s="9" t="s">
        <v>75</v>
      </c>
      <c r="I74" s="9" t="s">
        <v>259</v>
      </c>
      <c r="J74" s="15">
        <v>17993</v>
      </c>
      <c r="K74" s="15">
        <v>2998.83</v>
      </c>
    </row>
    <row r="75" spans="1:11" ht="30">
      <c r="A75" s="9">
        <f t="shared" si="1"/>
        <v>70</v>
      </c>
      <c r="B75" s="9" t="s">
        <v>202</v>
      </c>
      <c r="C75" s="9" t="s">
        <v>53</v>
      </c>
      <c r="D75" s="9" t="s">
        <v>260</v>
      </c>
      <c r="E75" s="9" t="s">
        <v>261</v>
      </c>
      <c r="F75" s="9" t="s">
        <v>261</v>
      </c>
      <c r="G75" s="9" t="s">
        <v>262</v>
      </c>
      <c r="H75" s="9" t="s">
        <v>263</v>
      </c>
      <c r="I75" s="9" t="s">
        <v>264</v>
      </c>
      <c r="J75" s="15">
        <v>137942</v>
      </c>
      <c r="K75" s="15">
        <v>22990.33</v>
      </c>
    </row>
    <row r="76" spans="1:11">
      <c r="A76" s="9">
        <f t="shared" si="1"/>
        <v>71</v>
      </c>
      <c r="B76" s="9" t="s">
        <v>202</v>
      </c>
      <c r="C76" s="9" t="s">
        <v>53</v>
      </c>
      <c r="D76" s="9" t="s">
        <v>265</v>
      </c>
      <c r="E76" s="9" t="s">
        <v>266</v>
      </c>
      <c r="F76" s="9" t="s">
        <v>266</v>
      </c>
      <c r="G76" s="9" t="s">
        <v>267</v>
      </c>
      <c r="H76" s="9" t="s">
        <v>268</v>
      </c>
      <c r="I76" s="9" t="s">
        <v>269</v>
      </c>
      <c r="J76" s="15">
        <v>27000</v>
      </c>
      <c r="K76" s="15">
        <v>4500</v>
      </c>
    </row>
    <row r="77" spans="1:11">
      <c r="A77" s="9">
        <f t="shared" si="1"/>
        <v>72</v>
      </c>
      <c r="B77" s="9" t="s">
        <v>202</v>
      </c>
      <c r="C77" s="9" t="s">
        <v>53</v>
      </c>
      <c r="D77" s="9" t="s">
        <v>270</v>
      </c>
      <c r="E77" s="9" t="s">
        <v>201</v>
      </c>
      <c r="F77" s="9" t="s">
        <v>271</v>
      </c>
      <c r="G77" s="9" t="s">
        <v>179</v>
      </c>
      <c r="H77" s="9" t="s">
        <v>180</v>
      </c>
      <c r="I77" s="9" t="s">
        <v>181</v>
      </c>
      <c r="J77" s="15">
        <v>27500</v>
      </c>
      <c r="K77" s="15">
        <v>4583.33</v>
      </c>
    </row>
    <row r="78" spans="1:11">
      <c r="A78" s="9">
        <f t="shared" si="1"/>
        <v>73</v>
      </c>
      <c r="B78" s="9" t="s">
        <v>202</v>
      </c>
      <c r="C78" s="9" t="s">
        <v>53</v>
      </c>
      <c r="D78" s="9" t="s">
        <v>199</v>
      </c>
      <c r="E78" s="9" t="s">
        <v>272</v>
      </c>
      <c r="F78" s="9" t="s">
        <v>272</v>
      </c>
      <c r="G78" s="9" t="s">
        <v>273</v>
      </c>
      <c r="H78" s="9" t="s">
        <v>274</v>
      </c>
      <c r="I78" s="9" t="s">
        <v>275</v>
      </c>
      <c r="J78" s="15">
        <v>88245</v>
      </c>
      <c r="K78" s="15">
        <v>14707.5</v>
      </c>
    </row>
    <row r="79" spans="1:11">
      <c r="A79" s="9">
        <f t="shared" si="1"/>
        <v>74</v>
      </c>
      <c r="B79" s="9" t="s">
        <v>276</v>
      </c>
      <c r="C79" s="9" t="s">
        <v>53</v>
      </c>
      <c r="D79" s="9" t="s">
        <v>277</v>
      </c>
      <c r="E79" s="9" t="s">
        <v>278</v>
      </c>
      <c r="F79" s="9" t="s">
        <v>278</v>
      </c>
      <c r="G79" s="9" t="s">
        <v>102</v>
      </c>
      <c r="H79" s="9" t="s">
        <v>103</v>
      </c>
      <c r="I79" s="9" t="s">
        <v>104</v>
      </c>
      <c r="J79" s="15">
        <v>6584</v>
      </c>
      <c r="K79" s="15">
        <v>1097.3399999999999</v>
      </c>
    </row>
    <row r="80" spans="1:11">
      <c r="A80" s="9">
        <f t="shared" si="1"/>
        <v>75</v>
      </c>
      <c r="B80" s="9" t="s">
        <v>276</v>
      </c>
      <c r="C80" s="9" t="s">
        <v>53</v>
      </c>
      <c r="D80" s="9" t="s">
        <v>279</v>
      </c>
      <c r="E80" s="9" t="s">
        <v>280</v>
      </c>
      <c r="F80" s="9" t="s">
        <v>280</v>
      </c>
      <c r="G80" s="9" t="s">
        <v>158</v>
      </c>
      <c r="H80" s="9" t="s">
        <v>159</v>
      </c>
      <c r="I80" s="9" t="s">
        <v>160</v>
      </c>
      <c r="J80" s="15">
        <v>144950</v>
      </c>
      <c r="K80" s="15">
        <v>24158.33</v>
      </c>
    </row>
    <row r="81" spans="1:11">
      <c r="A81" s="9">
        <f t="shared" si="1"/>
        <v>76</v>
      </c>
      <c r="B81" s="9" t="s">
        <v>276</v>
      </c>
      <c r="C81" s="9" t="s">
        <v>53</v>
      </c>
      <c r="D81" s="9" t="s">
        <v>281</v>
      </c>
      <c r="E81" s="9" t="s">
        <v>282</v>
      </c>
      <c r="F81" s="9" t="s">
        <v>282</v>
      </c>
      <c r="G81" s="9" t="s">
        <v>283</v>
      </c>
      <c r="H81" s="9" t="s">
        <v>180</v>
      </c>
      <c r="I81" s="9" t="s">
        <v>284</v>
      </c>
      <c r="J81" s="15">
        <v>354000</v>
      </c>
      <c r="K81" s="15">
        <v>59000</v>
      </c>
    </row>
    <row r="82" spans="1:11">
      <c r="A82" s="9">
        <f t="shared" si="1"/>
        <v>77</v>
      </c>
      <c r="B82" s="9" t="s">
        <v>276</v>
      </c>
      <c r="C82" s="9" t="s">
        <v>53</v>
      </c>
      <c r="D82" s="9" t="s">
        <v>265</v>
      </c>
      <c r="E82" s="9" t="s">
        <v>285</v>
      </c>
      <c r="F82" s="9" t="s">
        <v>285</v>
      </c>
      <c r="G82" s="9" t="s">
        <v>286</v>
      </c>
      <c r="H82" s="9" t="s">
        <v>287</v>
      </c>
      <c r="I82" s="9" t="s">
        <v>288</v>
      </c>
      <c r="J82" s="15">
        <v>80000</v>
      </c>
      <c r="K82" s="15">
        <v>13333.33</v>
      </c>
    </row>
    <row r="83" spans="1:11">
      <c r="A83" s="9">
        <f t="shared" si="1"/>
        <v>78</v>
      </c>
      <c r="B83" s="9" t="s">
        <v>276</v>
      </c>
      <c r="C83" s="9" t="s">
        <v>53</v>
      </c>
      <c r="D83" s="9" t="s">
        <v>289</v>
      </c>
      <c r="E83" s="9" t="s">
        <v>290</v>
      </c>
      <c r="F83" s="9" t="s">
        <v>290</v>
      </c>
      <c r="G83" s="9" t="s">
        <v>283</v>
      </c>
      <c r="H83" s="9" t="s">
        <v>180</v>
      </c>
      <c r="I83" s="9" t="s">
        <v>284</v>
      </c>
      <c r="J83" s="15">
        <v>302448</v>
      </c>
      <c r="K83" s="15">
        <v>50408</v>
      </c>
    </row>
    <row r="84" spans="1:11">
      <c r="A84" s="9">
        <f t="shared" si="1"/>
        <v>79</v>
      </c>
      <c r="B84" s="9" t="s">
        <v>276</v>
      </c>
      <c r="C84" s="9" t="s">
        <v>53</v>
      </c>
      <c r="D84" s="9" t="s">
        <v>291</v>
      </c>
      <c r="E84" s="9" t="s">
        <v>292</v>
      </c>
      <c r="F84" s="9" t="s">
        <v>292</v>
      </c>
      <c r="G84" s="9" t="s">
        <v>293</v>
      </c>
      <c r="H84" s="9" t="s">
        <v>294</v>
      </c>
      <c r="I84" s="9" t="s">
        <v>295</v>
      </c>
      <c r="J84" s="15">
        <v>20000</v>
      </c>
      <c r="K84" s="15">
        <v>3333.33</v>
      </c>
    </row>
    <row r="85" spans="1:11">
      <c r="A85" s="9">
        <f t="shared" si="1"/>
        <v>80</v>
      </c>
      <c r="B85" s="9" t="s">
        <v>276</v>
      </c>
      <c r="C85" s="9" t="s">
        <v>53</v>
      </c>
      <c r="D85" s="9" t="s">
        <v>296</v>
      </c>
      <c r="E85" s="9" t="s">
        <v>297</v>
      </c>
      <c r="F85" s="9" t="s">
        <v>297</v>
      </c>
      <c r="G85" s="9" t="s">
        <v>179</v>
      </c>
      <c r="H85" s="9" t="s">
        <v>180</v>
      </c>
      <c r="I85" s="9" t="s">
        <v>181</v>
      </c>
      <c r="J85" s="15">
        <v>13500</v>
      </c>
      <c r="K85" s="15">
        <v>2250</v>
      </c>
    </row>
    <row r="86" spans="1:11">
      <c r="A86" s="9">
        <f t="shared" si="1"/>
        <v>81</v>
      </c>
      <c r="B86" s="9" t="s">
        <v>276</v>
      </c>
      <c r="C86" s="9" t="s">
        <v>53</v>
      </c>
      <c r="D86" s="9" t="s">
        <v>298</v>
      </c>
      <c r="E86" s="9" t="s">
        <v>297</v>
      </c>
      <c r="F86" s="9" t="s">
        <v>297</v>
      </c>
      <c r="G86" s="9" t="s">
        <v>299</v>
      </c>
      <c r="H86" s="9" t="s">
        <v>300</v>
      </c>
      <c r="I86" s="9" t="s">
        <v>301</v>
      </c>
      <c r="J86" s="15">
        <v>248160</v>
      </c>
      <c r="K86" s="15">
        <v>41360</v>
      </c>
    </row>
    <row r="87" spans="1:11">
      <c r="A87" s="9">
        <f t="shared" si="1"/>
        <v>82</v>
      </c>
      <c r="B87" s="9" t="s">
        <v>276</v>
      </c>
      <c r="C87" s="9" t="s">
        <v>53</v>
      </c>
      <c r="D87" s="9" t="s">
        <v>302</v>
      </c>
      <c r="E87" s="9" t="s">
        <v>303</v>
      </c>
      <c r="F87" s="9" t="s">
        <v>303</v>
      </c>
      <c r="G87" s="9" t="s">
        <v>304</v>
      </c>
      <c r="H87" s="9" t="s">
        <v>294</v>
      </c>
      <c r="I87" s="9" t="s">
        <v>305</v>
      </c>
      <c r="J87" s="15">
        <v>10180</v>
      </c>
      <c r="K87" s="15">
        <v>1696.67</v>
      </c>
    </row>
    <row r="88" spans="1:11">
      <c r="A88" s="9">
        <f t="shared" si="1"/>
        <v>83</v>
      </c>
      <c r="B88" s="9" t="s">
        <v>276</v>
      </c>
      <c r="C88" s="9" t="s">
        <v>53</v>
      </c>
      <c r="D88" s="9" t="s">
        <v>306</v>
      </c>
      <c r="E88" s="9" t="s">
        <v>307</v>
      </c>
      <c r="F88" s="9" t="s">
        <v>307</v>
      </c>
      <c r="G88" s="9" t="s">
        <v>308</v>
      </c>
      <c r="H88" s="9" t="s">
        <v>309</v>
      </c>
      <c r="I88" s="9" t="s">
        <v>310</v>
      </c>
      <c r="J88" s="15">
        <v>12000</v>
      </c>
      <c r="K88" s="15">
        <v>2000</v>
      </c>
    </row>
    <row r="89" spans="1:11">
      <c r="A89" s="9">
        <f t="shared" si="1"/>
        <v>84</v>
      </c>
      <c r="B89" s="9" t="s">
        <v>276</v>
      </c>
      <c r="C89" s="9" t="s">
        <v>53</v>
      </c>
      <c r="D89" s="9" t="s">
        <v>311</v>
      </c>
      <c r="E89" s="9" t="s">
        <v>312</v>
      </c>
      <c r="F89" s="9" t="s">
        <v>312</v>
      </c>
      <c r="G89" s="9" t="s">
        <v>313</v>
      </c>
      <c r="H89" s="9" t="s">
        <v>314</v>
      </c>
      <c r="I89" s="9" t="s">
        <v>315</v>
      </c>
      <c r="J89" s="15">
        <v>10200</v>
      </c>
      <c r="K89" s="15">
        <v>1700</v>
      </c>
    </row>
    <row r="90" spans="1:11">
      <c r="A90" s="9">
        <f t="shared" si="1"/>
        <v>85</v>
      </c>
      <c r="B90" s="9" t="s">
        <v>276</v>
      </c>
      <c r="C90" s="9" t="s">
        <v>53</v>
      </c>
      <c r="D90" s="9" t="s">
        <v>316</v>
      </c>
      <c r="E90" s="9" t="s">
        <v>317</v>
      </c>
      <c r="F90" s="9" t="s">
        <v>317</v>
      </c>
      <c r="G90" s="9" t="s">
        <v>318</v>
      </c>
      <c r="H90" s="9" t="s">
        <v>319</v>
      </c>
      <c r="I90" s="9" t="s">
        <v>320</v>
      </c>
      <c r="J90" s="15">
        <v>699</v>
      </c>
      <c r="K90" s="15">
        <v>99</v>
      </c>
    </row>
    <row r="91" spans="1:11">
      <c r="A91" s="9">
        <f t="shared" si="1"/>
        <v>86</v>
      </c>
      <c r="B91" s="9" t="s">
        <v>276</v>
      </c>
      <c r="C91" s="9" t="s">
        <v>53</v>
      </c>
      <c r="D91" s="9" t="s">
        <v>321</v>
      </c>
      <c r="E91" s="9" t="s">
        <v>322</v>
      </c>
      <c r="F91" s="9" t="s">
        <v>322</v>
      </c>
      <c r="G91" s="9" t="s">
        <v>283</v>
      </c>
      <c r="H91" s="9" t="s">
        <v>180</v>
      </c>
      <c r="I91" s="9" t="s">
        <v>284</v>
      </c>
      <c r="J91" s="15">
        <v>474222</v>
      </c>
      <c r="K91" s="15">
        <v>79037</v>
      </c>
    </row>
    <row r="92" spans="1:11">
      <c r="A92" s="9">
        <f t="shared" si="1"/>
        <v>87</v>
      </c>
      <c r="B92" s="9" t="s">
        <v>276</v>
      </c>
      <c r="C92" s="9" t="s">
        <v>53</v>
      </c>
      <c r="D92" s="9" t="s">
        <v>323</v>
      </c>
      <c r="E92" s="9" t="s">
        <v>324</v>
      </c>
      <c r="F92" s="9" t="s">
        <v>324</v>
      </c>
      <c r="G92" s="9" t="s">
        <v>308</v>
      </c>
      <c r="H92" s="9" t="s">
        <v>309</v>
      </c>
      <c r="I92" s="9" t="s">
        <v>310</v>
      </c>
      <c r="J92" s="15">
        <v>33000</v>
      </c>
      <c r="K92" s="15">
        <v>5500</v>
      </c>
    </row>
    <row r="93" spans="1:11">
      <c r="A93" s="9">
        <f t="shared" si="1"/>
        <v>88</v>
      </c>
      <c r="B93" s="9" t="s">
        <v>276</v>
      </c>
      <c r="C93" s="9" t="s">
        <v>53</v>
      </c>
      <c r="D93" s="9" t="s">
        <v>325</v>
      </c>
      <c r="E93" s="9" t="s">
        <v>324</v>
      </c>
      <c r="F93" s="9" t="s">
        <v>324</v>
      </c>
      <c r="G93" s="9" t="s">
        <v>326</v>
      </c>
      <c r="H93" s="9" t="s">
        <v>327</v>
      </c>
      <c r="I93" s="9" t="s">
        <v>328</v>
      </c>
      <c r="J93" s="15">
        <v>603144</v>
      </c>
      <c r="K93" s="15">
        <v>100524</v>
      </c>
    </row>
    <row r="94" spans="1:11">
      <c r="A94" s="9">
        <f t="shared" si="1"/>
        <v>89</v>
      </c>
      <c r="B94" s="9" t="s">
        <v>276</v>
      </c>
      <c r="C94" s="9" t="s">
        <v>53</v>
      </c>
      <c r="D94" s="9" t="s">
        <v>329</v>
      </c>
      <c r="E94" s="9" t="s">
        <v>330</v>
      </c>
      <c r="F94" s="9" t="s">
        <v>330</v>
      </c>
      <c r="G94" s="9" t="s">
        <v>258</v>
      </c>
      <c r="H94" s="9" t="s">
        <v>75</v>
      </c>
      <c r="I94" s="9" t="s">
        <v>259</v>
      </c>
      <c r="J94" s="15">
        <v>42000</v>
      </c>
      <c r="K94" s="15">
        <v>7000</v>
      </c>
    </row>
    <row r="95" spans="1:11">
      <c r="A95" s="9">
        <f t="shared" si="1"/>
        <v>90</v>
      </c>
      <c r="B95" s="9" t="s">
        <v>276</v>
      </c>
      <c r="C95" s="9" t="s">
        <v>53</v>
      </c>
      <c r="D95" s="9" t="s">
        <v>331</v>
      </c>
      <c r="E95" s="9" t="s">
        <v>332</v>
      </c>
      <c r="F95" s="9" t="s">
        <v>332</v>
      </c>
      <c r="G95" s="9" t="s">
        <v>299</v>
      </c>
      <c r="H95" s="9" t="s">
        <v>300</v>
      </c>
      <c r="I95" s="9" t="s">
        <v>301</v>
      </c>
      <c r="J95" s="15">
        <v>276450</v>
      </c>
      <c r="K95" s="15">
        <v>46075</v>
      </c>
    </row>
    <row r="96" spans="1:11">
      <c r="A96" s="9">
        <f t="shared" si="1"/>
        <v>91</v>
      </c>
      <c r="B96" s="9" t="s">
        <v>276</v>
      </c>
      <c r="C96" s="9" t="s">
        <v>53</v>
      </c>
      <c r="D96" s="9" t="s">
        <v>333</v>
      </c>
      <c r="E96" s="9" t="s">
        <v>332</v>
      </c>
      <c r="F96" s="9" t="s">
        <v>332</v>
      </c>
      <c r="G96" s="9" t="s">
        <v>158</v>
      </c>
      <c r="H96" s="9" t="s">
        <v>159</v>
      </c>
      <c r="I96" s="9" t="s">
        <v>160</v>
      </c>
      <c r="J96" s="15">
        <v>17500</v>
      </c>
      <c r="K96" s="15">
        <v>2916.67</v>
      </c>
    </row>
    <row r="97" spans="1:11">
      <c r="A97" s="9">
        <f t="shared" si="1"/>
        <v>92</v>
      </c>
      <c r="B97" s="9" t="s">
        <v>276</v>
      </c>
      <c r="C97" s="9" t="s">
        <v>53</v>
      </c>
      <c r="D97" s="9" t="s">
        <v>334</v>
      </c>
      <c r="E97" s="9" t="s">
        <v>332</v>
      </c>
      <c r="F97" s="9" t="s">
        <v>332</v>
      </c>
      <c r="G97" s="9" t="s">
        <v>102</v>
      </c>
      <c r="H97" s="9" t="s">
        <v>103</v>
      </c>
      <c r="I97" s="9" t="s">
        <v>104</v>
      </c>
      <c r="J97" s="15">
        <v>2610</v>
      </c>
      <c r="K97" s="15">
        <v>435</v>
      </c>
    </row>
    <row r="98" spans="1:11" ht="30">
      <c r="A98" s="9">
        <f t="shared" si="1"/>
        <v>93</v>
      </c>
      <c r="B98" s="9" t="s">
        <v>276</v>
      </c>
      <c r="C98" s="9" t="s">
        <v>53</v>
      </c>
      <c r="D98" s="9" t="s">
        <v>335</v>
      </c>
      <c r="E98" s="9" t="s">
        <v>332</v>
      </c>
      <c r="F98" s="9" t="s">
        <v>332</v>
      </c>
      <c r="G98" s="9" t="s">
        <v>167</v>
      </c>
      <c r="H98" s="9" t="s">
        <v>36</v>
      </c>
      <c r="I98" s="9" t="s">
        <v>168</v>
      </c>
      <c r="J98" s="15">
        <v>366300</v>
      </c>
      <c r="K98" s="15">
        <v>61050</v>
      </c>
    </row>
    <row r="99" spans="1:11">
      <c r="A99" s="9">
        <f t="shared" si="1"/>
        <v>94</v>
      </c>
      <c r="B99" s="9" t="s">
        <v>276</v>
      </c>
      <c r="C99" s="9" t="s">
        <v>53</v>
      </c>
      <c r="D99" s="9" t="s">
        <v>336</v>
      </c>
      <c r="E99" s="9" t="s">
        <v>332</v>
      </c>
      <c r="F99" s="9" t="s">
        <v>332</v>
      </c>
      <c r="G99" s="9" t="s">
        <v>179</v>
      </c>
      <c r="H99" s="9" t="s">
        <v>180</v>
      </c>
      <c r="I99" s="9" t="s">
        <v>181</v>
      </c>
      <c r="J99" s="15">
        <v>13000</v>
      </c>
      <c r="K99" s="15">
        <v>2166.67</v>
      </c>
    </row>
    <row r="100" spans="1:11">
      <c r="A100" s="9">
        <f t="shared" si="1"/>
        <v>95</v>
      </c>
      <c r="B100" s="9" t="s">
        <v>276</v>
      </c>
      <c r="C100" s="9" t="s">
        <v>53</v>
      </c>
      <c r="D100" s="9" t="s">
        <v>337</v>
      </c>
      <c r="E100" s="9" t="s">
        <v>332</v>
      </c>
      <c r="F100" s="9" t="s">
        <v>332</v>
      </c>
      <c r="G100" s="9" t="s">
        <v>318</v>
      </c>
      <c r="H100" s="9" t="s">
        <v>319</v>
      </c>
      <c r="I100" s="9" t="s">
        <v>320</v>
      </c>
      <c r="J100" s="15">
        <v>1123</v>
      </c>
      <c r="K100" s="15">
        <v>171.17</v>
      </c>
    </row>
    <row r="101" spans="1:11">
      <c r="A101" s="9">
        <f t="shared" si="1"/>
        <v>96</v>
      </c>
      <c r="B101" s="9" t="s">
        <v>276</v>
      </c>
      <c r="C101" s="9" t="s">
        <v>53</v>
      </c>
      <c r="D101" s="9" t="s">
        <v>338</v>
      </c>
      <c r="E101" s="9" t="s">
        <v>339</v>
      </c>
      <c r="F101" s="9" t="s">
        <v>339</v>
      </c>
      <c r="G101" s="9" t="s">
        <v>56</v>
      </c>
      <c r="H101" s="9" t="s">
        <v>57</v>
      </c>
      <c r="I101" s="9" t="s">
        <v>58</v>
      </c>
      <c r="J101" s="15">
        <v>889895</v>
      </c>
      <c r="K101" s="15">
        <v>148315.82999999999</v>
      </c>
    </row>
    <row r="102" spans="1:11">
      <c r="A102" s="9">
        <f t="shared" si="1"/>
        <v>97</v>
      </c>
      <c r="B102" s="9" t="s">
        <v>276</v>
      </c>
      <c r="C102" s="9" t="s">
        <v>53</v>
      </c>
      <c r="D102" s="9" t="s">
        <v>340</v>
      </c>
      <c r="E102" s="9" t="s">
        <v>339</v>
      </c>
      <c r="F102" s="9" t="s">
        <v>339</v>
      </c>
      <c r="G102" s="9" t="s">
        <v>308</v>
      </c>
      <c r="H102" s="9" t="s">
        <v>309</v>
      </c>
      <c r="I102" s="9" t="s">
        <v>310</v>
      </c>
      <c r="J102" s="15">
        <v>20000</v>
      </c>
      <c r="K102" s="15">
        <v>3333.33</v>
      </c>
    </row>
    <row r="103" spans="1:11">
      <c r="A103" s="9">
        <f t="shared" si="1"/>
        <v>98</v>
      </c>
      <c r="B103" s="9" t="s">
        <v>276</v>
      </c>
      <c r="C103" s="9" t="s">
        <v>255</v>
      </c>
      <c r="D103" s="9" t="s">
        <v>341</v>
      </c>
      <c r="E103" s="9" t="s">
        <v>342</v>
      </c>
      <c r="F103" s="9" t="s">
        <v>36</v>
      </c>
      <c r="G103" s="9" t="s">
        <v>343</v>
      </c>
      <c r="H103" s="9" t="s">
        <v>344</v>
      </c>
      <c r="I103" s="9" t="s">
        <v>345</v>
      </c>
      <c r="J103" s="15">
        <v>54000</v>
      </c>
      <c r="K103" s="15">
        <v>9000</v>
      </c>
    </row>
    <row r="104" spans="1:11">
      <c r="A104" s="9">
        <f t="shared" si="1"/>
        <v>99</v>
      </c>
      <c r="B104" s="9" t="s">
        <v>276</v>
      </c>
      <c r="C104" s="9" t="s">
        <v>53</v>
      </c>
      <c r="D104" s="9" t="s">
        <v>199</v>
      </c>
      <c r="E104" s="9" t="s">
        <v>342</v>
      </c>
      <c r="F104" s="9" t="s">
        <v>342</v>
      </c>
      <c r="G104" s="9" t="s">
        <v>308</v>
      </c>
      <c r="H104" s="9" t="s">
        <v>309</v>
      </c>
      <c r="I104" s="9" t="s">
        <v>310</v>
      </c>
      <c r="J104" s="15">
        <v>6500</v>
      </c>
      <c r="K104" s="15">
        <v>1083.33</v>
      </c>
    </row>
    <row r="105" spans="1:11">
      <c r="A105" s="9">
        <f t="shared" si="1"/>
        <v>100</v>
      </c>
      <c r="B105" s="9" t="s">
        <v>276</v>
      </c>
      <c r="C105" s="9" t="s">
        <v>53</v>
      </c>
      <c r="D105" s="9" t="s">
        <v>346</v>
      </c>
      <c r="E105" s="9" t="s">
        <v>347</v>
      </c>
      <c r="F105" s="9" t="s">
        <v>347</v>
      </c>
      <c r="G105" s="9" t="s">
        <v>348</v>
      </c>
      <c r="H105" s="9" t="s">
        <v>349</v>
      </c>
      <c r="I105" s="9" t="s">
        <v>350</v>
      </c>
      <c r="J105" s="15">
        <v>141839</v>
      </c>
      <c r="K105" s="15">
        <v>23639.83</v>
      </c>
    </row>
    <row r="106" spans="1:11">
      <c r="A106" s="9">
        <f t="shared" si="1"/>
        <v>101</v>
      </c>
      <c r="B106" s="9" t="s">
        <v>276</v>
      </c>
      <c r="C106" s="9" t="s">
        <v>53</v>
      </c>
      <c r="D106" s="9" t="s">
        <v>351</v>
      </c>
      <c r="E106" s="9" t="s">
        <v>347</v>
      </c>
      <c r="F106" s="9" t="s">
        <v>347</v>
      </c>
      <c r="G106" s="9" t="s">
        <v>158</v>
      </c>
      <c r="H106" s="9" t="s">
        <v>159</v>
      </c>
      <c r="I106" s="9" t="s">
        <v>160</v>
      </c>
      <c r="J106" s="15">
        <v>302260</v>
      </c>
      <c r="K106" s="15">
        <v>50376.67</v>
      </c>
    </row>
    <row r="107" spans="1:11">
      <c r="A107" s="9">
        <f t="shared" si="1"/>
        <v>102</v>
      </c>
      <c r="B107" s="9" t="s">
        <v>276</v>
      </c>
      <c r="C107" s="9" t="s">
        <v>53</v>
      </c>
      <c r="D107" s="9" t="s">
        <v>352</v>
      </c>
      <c r="E107" s="9" t="s">
        <v>353</v>
      </c>
      <c r="F107" s="9" t="s">
        <v>353</v>
      </c>
      <c r="G107" s="9" t="s">
        <v>313</v>
      </c>
      <c r="H107" s="9" t="s">
        <v>314</v>
      </c>
      <c r="I107" s="9" t="s">
        <v>315</v>
      </c>
      <c r="J107" s="15">
        <v>30000</v>
      </c>
      <c r="K107" s="15">
        <v>5000</v>
      </c>
    </row>
    <row r="108" spans="1:11">
      <c r="A108" s="9">
        <f t="shared" si="1"/>
        <v>103</v>
      </c>
      <c r="B108" s="9" t="s">
        <v>276</v>
      </c>
      <c r="C108" s="9" t="s">
        <v>53</v>
      </c>
      <c r="D108" s="9" t="s">
        <v>354</v>
      </c>
      <c r="E108" s="9" t="s">
        <v>355</v>
      </c>
      <c r="F108" s="9" t="s">
        <v>355</v>
      </c>
      <c r="G108" s="9" t="s">
        <v>356</v>
      </c>
      <c r="H108" s="9" t="s">
        <v>357</v>
      </c>
      <c r="I108" s="9" t="s">
        <v>358</v>
      </c>
      <c r="J108" s="15">
        <v>592705</v>
      </c>
      <c r="K108" s="15">
        <v>98784.16</v>
      </c>
    </row>
    <row r="109" spans="1:11">
      <c r="A109" s="9">
        <f t="shared" si="1"/>
        <v>104</v>
      </c>
      <c r="B109" s="9" t="s">
        <v>276</v>
      </c>
      <c r="C109" s="9" t="s">
        <v>53</v>
      </c>
      <c r="D109" s="9" t="s">
        <v>359</v>
      </c>
      <c r="E109" s="9" t="s">
        <v>360</v>
      </c>
      <c r="F109" s="9" t="s">
        <v>360</v>
      </c>
      <c r="G109" s="9" t="s">
        <v>158</v>
      </c>
      <c r="H109" s="9" t="s">
        <v>159</v>
      </c>
      <c r="I109" s="9" t="s">
        <v>160</v>
      </c>
      <c r="J109" s="15">
        <v>35000</v>
      </c>
      <c r="K109" s="15">
        <v>5833.33</v>
      </c>
    </row>
    <row r="110" spans="1:11" ht="30">
      <c r="A110" s="9">
        <f t="shared" si="1"/>
        <v>105</v>
      </c>
      <c r="B110" s="9" t="s">
        <v>276</v>
      </c>
      <c r="C110" s="9" t="s">
        <v>53</v>
      </c>
      <c r="D110" s="9" t="s">
        <v>361</v>
      </c>
      <c r="E110" s="9" t="s">
        <v>360</v>
      </c>
      <c r="F110" s="9" t="s">
        <v>360</v>
      </c>
      <c r="G110" s="9" t="s">
        <v>262</v>
      </c>
      <c r="H110" s="9" t="s">
        <v>263</v>
      </c>
      <c r="I110" s="9" t="s">
        <v>264</v>
      </c>
      <c r="J110" s="15">
        <v>118345.5</v>
      </c>
      <c r="K110" s="15">
        <v>19724.25</v>
      </c>
    </row>
    <row r="111" spans="1:11">
      <c r="A111" s="9">
        <f t="shared" si="1"/>
        <v>106</v>
      </c>
      <c r="B111" s="9" t="s">
        <v>276</v>
      </c>
      <c r="C111" s="9" t="s">
        <v>53</v>
      </c>
      <c r="D111" s="9" t="s">
        <v>362</v>
      </c>
      <c r="E111" s="9" t="s">
        <v>363</v>
      </c>
      <c r="F111" s="9" t="s">
        <v>363</v>
      </c>
      <c r="G111" s="9" t="s">
        <v>364</v>
      </c>
      <c r="H111" s="9" t="s">
        <v>268</v>
      </c>
      <c r="I111" s="9" t="s">
        <v>365</v>
      </c>
      <c r="J111" s="15">
        <v>28000</v>
      </c>
      <c r="K111" s="15">
        <v>4666.67</v>
      </c>
    </row>
    <row r="112" spans="1:11">
      <c r="A112" s="9">
        <f t="shared" si="1"/>
        <v>107</v>
      </c>
      <c r="B112" s="9" t="s">
        <v>276</v>
      </c>
      <c r="C112" s="9" t="s">
        <v>53</v>
      </c>
      <c r="D112" s="9" t="s">
        <v>366</v>
      </c>
      <c r="E112" s="9" t="s">
        <v>363</v>
      </c>
      <c r="F112" s="9" t="s">
        <v>363</v>
      </c>
      <c r="G112" s="9" t="s">
        <v>102</v>
      </c>
      <c r="H112" s="9" t="s">
        <v>103</v>
      </c>
      <c r="I112" s="9" t="s">
        <v>104</v>
      </c>
      <c r="J112" s="15">
        <v>3900</v>
      </c>
      <c r="K112" s="15">
        <v>650</v>
      </c>
    </row>
    <row r="113" spans="1:11">
      <c r="A113" s="9">
        <f t="shared" si="1"/>
        <v>108</v>
      </c>
      <c r="B113" s="9" t="s">
        <v>276</v>
      </c>
      <c r="C113" s="9" t="s">
        <v>53</v>
      </c>
      <c r="D113" s="9" t="s">
        <v>367</v>
      </c>
      <c r="E113" s="9" t="s">
        <v>368</v>
      </c>
      <c r="F113" s="9" t="s">
        <v>368</v>
      </c>
      <c r="G113" s="9" t="s">
        <v>179</v>
      </c>
      <c r="H113" s="9" t="s">
        <v>180</v>
      </c>
      <c r="I113" s="9" t="s">
        <v>181</v>
      </c>
      <c r="J113" s="15">
        <v>13500</v>
      </c>
      <c r="K113" s="15">
        <v>2250</v>
      </c>
    </row>
    <row r="114" spans="1:11">
      <c r="A114" s="9">
        <f t="shared" si="1"/>
        <v>109</v>
      </c>
      <c r="B114" s="9" t="s">
        <v>276</v>
      </c>
      <c r="C114" s="9" t="s">
        <v>53</v>
      </c>
      <c r="D114" s="9" t="s">
        <v>369</v>
      </c>
      <c r="E114" s="9" t="s">
        <v>370</v>
      </c>
      <c r="F114" s="9" t="s">
        <v>370</v>
      </c>
      <c r="G114" s="9" t="s">
        <v>308</v>
      </c>
      <c r="H114" s="9" t="s">
        <v>309</v>
      </c>
      <c r="I114" s="9" t="s">
        <v>310</v>
      </c>
      <c r="J114" s="15">
        <v>30000</v>
      </c>
      <c r="K114" s="15">
        <v>5000</v>
      </c>
    </row>
    <row r="115" spans="1:11">
      <c r="A115" s="9">
        <f t="shared" si="1"/>
        <v>110</v>
      </c>
      <c r="B115" s="9" t="s">
        <v>276</v>
      </c>
      <c r="C115" s="9" t="s">
        <v>53</v>
      </c>
      <c r="D115" s="9" t="s">
        <v>371</v>
      </c>
      <c r="E115" s="9" t="s">
        <v>370</v>
      </c>
      <c r="F115" s="9" t="s">
        <v>370</v>
      </c>
      <c r="G115" s="9" t="s">
        <v>326</v>
      </c>
      <c r="H115" s="9" t="s">
        <v>327</v>
      </c>
      <c r="I115" s="9" t="s">
        <v>328</v>
      </c>
      <c r="J115" s="15">
        <v>340000</v>
      </c>
      <c r="K115" s="15">
        <v>56666.67</v>
      </c>
    </row>
    <row r="116" spans="1:11">
      <c r="A116" s="9">
        <f t="shared" si="1"/>
        <v>111</v>
      </c>
      <c r="B116" s="9" t="s">
        <v>276</v>
      </c>
      <c r="C116" s="9" t="s">
        <v>53</v>
      </c>
      <c r="D116" s="9" t="s">
        <v>372</v>
      </c>
      <c r="E116" s="9" t="s">
        <v>373</v>
      </c>
      <c r="F116" s="9" t="s">
        <v>373</v>
      </c>
      <c r="G116" s="9" t="s">
        <v>374</v>
      </c>
      <c r="H116" s="9" t="s">
        <v>375</v>
      </c>
      <c r="I116" s="9" t="s">
        <v>376</v>
      </c>
      <c r="J116" s="15">
        <v>3096.18</v>
      </c>
      <c r="K116" s="15">
        <v>516.03</v>
      </c>
    </row>
    <row r="117" spans="1:11">
      <c r="A117" s="9">
        <f t="shared" si="1"/>
        <v>112</v>
      </c>
      <c r="B117" s="9" t="s">
        <v>276</v>
      </c>
      <c r="C117" s="9" t="s">
        <v>53</v>
      </c>
      <c r="D117" s="9" t="s">
        <v>377</v>
      </c>
      <c r="E117" s="9" t="s">
        <v>373</v>
      </c>
      <c r="F117" s="9" t="s">
        <v>373</v>
      </c>
      <c r="G117" s="9" t="s">
        <v>158</v>
      </c>
      <c r="H117" s="9" t="s">
        <v>159</v>
      </c>
      <c r="I117" s="9" t="s">
        <v>160</v>
      </c>
      <c r="J117" s="15">
        <v>200640</v>
      </c>
      <c r="K117" s="15">
        <v>33440</v>
      </c>
    </row>
    <row r="118" spans="1:11">
      <c r="A118" s="9">
        <f t="shared" si="1"/>
        <v>113</v>
      </c>
      <c r="B118" s="9" t="s">
        <v>378</v>
      </c>
      <c r="C118" s="9" t="s">
        <v>53</v>
      </c>
      <c r="D118" s="9" t="s">
        <v>379</v>
      </c>
      <c r="E118" s="9" t="s">
        <v>380</v>
      </c>
      <c r="F118" s="9" t="s">
        <v>380</v>
      </c>
      <c r="G118" s="9" t="s">
        <v>381</v>
      </c>
      <c r="H118" s="9" t="s">
        <v>268</v>
      </c>
      <c r="I118" s="9" t="s">
        <v>382</v>
      </c>
      <c r="J118" s="15">
        <v>20000</v>
      </c>
      <c r="K118" s="15">
        <v>3333.33</v>
      </c>
    </row>
    <row r="119" spans="1:11">
      <c r="A119" s="9">
        <f t="shared" si="1"/>
        <v>114</v>
      </c>
      <c r="B119" s="9" t="s">
        <v>378</v>
      </c>
      <c r="C119" s="9" t="s">
        <v>53</v>
      </c>
      <c r="D119" s="9" t="s">
        <v>383</v>
      </c>
      <c r="E119" s="9" t="s">
        <v>384</v>
      </c>
      <c r="F119" s="9" t="s">
        <v>384</v>
      </c>
      <c r="G119" s="9" t="s">
        <v>102</v>
      </c>
      <c r="H119" s="9" t="s">
        <v>103</v>
      </c>
      <c r="I119" s="9" t="s">
        <v>104</v>
      </c>
      <c r="J119" s="15">
        <v>3915</v>
      </c>
      <c r="K119" s="15">
        <v>652.5</v>
      </c>
    </row>
    <row r="120" spans="1:11">
      <c r="A120" s="9">
        <f t="shared" si="1"/>
        <v>115</v>
      </c>
      <c r="B120" s="9" t="s">
        <v>378</v>
      </c>
      <c r="C120" s="9" t="s">
        <v>53</v>
      </c>
      <c r="D120" s="9" t="s">
        <v>385</v>
      </c>
      <c r="E120" s="9" t="s">
        <v>384</v>
      </c>
      <c r="F120" s="9" t="s">
        <v>384</v>
      </c>
      <c r="G120" s="9" t="s">
        <v>102</v>
      </c>
      <c r="H120" s="9" t="s">
        <v>103</v>
      </c>
      <c r="I120" s="9" t="s">
        <v>104</v>
      </c>
      <c r="J120" s="15">
        <v>7728</v>
      </c>
      <c r="K120" s="15">
        <v>1288</v>
      </c>
    </row>
    <row r="121" spans="1:11">
      <c r="A121" s="9">
        <f t="shared" si="1"/>
        <v>116</v>
      </c>
      <c r="B121" s="9" t="s">
        <v>378</v>
      </c>
      <c r="C121" s="9" t="s">
        <v>53</v>
      </c>
      <c r="D121" s="9" t="s">
        <v>386</v>
      </c>
      <c r="E121" s="9" t="s">
        <v>387</v>
      </c>
      <c r="F121" s="9" t="s">
        <v>387</v>
      </c>
      <c r="G121" s="9" t="s">
        <v>326</v>
      </c>
      <c r="H121" s="9" t="s">
        <v>327</v>
      </c>
      <c r="I121" s="9" t="s">
        <v>328</v>
      </c>
      <c r="J121" s="15">
        <v>592020</v>
      </c>
      <c r="K121" s="15">
        <v>98670</v>
      </c>
    </row>
    <row r="122" spans="1:11">
      <c r="A122" s="9">
        <f t="shared" si="1"/>
        <v>117</v>
      </c>
      <c r="B122" s="9" t="s">
        <v>378</v>
      </c>
      <c r="C122" s="9" t="s">
        <v>53</v>
      </c>
      <c r="D122" s="9" t="s">
        <v>388</v>
      </c>
      <c r="E122" s="9" t="s">
        <v>387</v>
      </c>
      <c r="F122" s="9" t="s">
        <v>387</v>
      </c>
      <c r="G122" s="9" t="s">
        <v>308</v>
      </c>
      <c r="H122" s="9" t="s">
        <v>309</v>
      </c>
      <c r="I122" s="9" t="s">
        <v>310</v>
      </c>
      <c r="J122" s="15">
        <v>30000</v>
      </c>
      <c r="K122" s="15">
        <v>5000</v>
      </c>
    </row>
    <row r="123" spans="1:11">
      <c r="A123" s="9">
        <f t="shared" si="1"/>
        <v>118</v>
      </c>
      <c r="B123" s="9" t="s">
        <v>378</v>
      </c>
      <c r="C123" s="9" t="s">
        <v>53</v>
      </c>
      <c r="D123" s="9" t="s">
        <v>389</v>
      </c>
      <c r="E123" s="9" t="s">
        <v>390</v>
      </c>
      <c r="F123" s="9" t="s">
        <v>390</v>
      </c>
      <c r="G123" s="9" t="s">
        <v>318</v>
      </c>
      <c r="H123" s="9" t="s">
        <v>319</v>
      </c>
      <c r="I123" s="9" t="s">
        <v>320</v>
      </c>
      <c r="J123" s="15">
        <v>556</v>
      </c>
      <c r="K123" s="15">
        <v>74</v>
      </c>
    </row>
    <row r="124" spans="1:11">
      <c r="A124" s="9">
        <f t="shared" si="1"/>
        <v>119</v>
      </c>
      <c r="B124" s="9" t="s">
        <v>378</v>
      </c>
      <c r="C124" s="9" t="s">
        <v>53</v>
      </c>
      <c r="D124" s="9" t="s">
        <v>391</v>
      </c>
      <c r="E124" s="9" t="s">
        <v>392</v>
      </c>
      <c r="F124" s="9" t="s">
        <v>392</v>
      </c>
      <c r="G124" s="9" t="s">
        <v>299</v>
      </c>
      <c r="H124" s="9" t="s">
        <v>300</v>
      </c>
      <c r="I124" s="9" t="s">
        <v>301</v>
      </c>
      <c r="J124" s="15">
        <v>173325</v>
      </c>
      <c r="K124" s="15">
        <v>28887.5</v>
      </c>
    </row>
    <row r="125" spans="1:11">
      <c r="A125" s="9">
        <f t="shared" si="1"/>
        <v>120</v>
      </c>
      <c r="B125" s="9" t="s">
        <v>378</v>
      </c>
      <c r="C125" s="9" t="s">
        <v>53</v>
      </c>
      <c r="D125" s="9" t="s">
        <v>393</v>
      </c>
      <c r="E125" s="9" t="s">
        <v>392</v>
      </c>
      <c r="F125" s="9" t="s">
        <v>392</v>
      </c>
      <c r="G125" s="9" t="s">
        <v>308</v>
      </c>
      <c r="H125" s="9" t="s">
        <v>309</v>
      </c>
      <c r="I125" s="9" t="s">
        <v>310</v>
      </c>
      <c r="J125" s="15">
        <v>12000</v>
      </c>
      <c r="K125" s="15">
        <v>2000</v>
      </c>
    </row>
    <row r="126" spans="1:11">
      <c r="A126" s="9">
        <f t="shared" si="1"/>
        <v>121</v>
      </c>
      <c r="B126" s="9" t="s">
        <v>378</v>
      </c>
      <c r="C126" s="9" t="s">
        <v>53</v>
      </c>
      <c r="D126" s="9" t="s">
        <v>394</v>
      </c>
      <c r="E126" s="9" t="s">
        <v>392</v>
      </c>
      <c r="F126" s="9" t="s">
        <v>392</v>
      </c>
      <c r="G126" s="9" t="s">
        <v>102</v>
      </c>
      <c r="H126" s="9" t="s">
        <v>103</v>
      </c>
      <c r="I126" s="9" t="s">
        <v>104</v>
      </c>
      <c r="J126" s="15">
        <v>5458</v>
      </c>
      <c r="K126" s="15">
        <v>909.67</v>
      </c>
    </row>
    <row r="127" spans="1:11">
      <c r="A127" s="9">
        <f t="shared" si="1"/>
        <v>122</v>
      </c>
      <c r="B127" s="9" t="s">
        <v>378</v>
      </c>
      <c r="C127" s="9" t="s">
        <v>53</v>
      </c>
      <c r="D127" s="9" t="s">
        <v>395</v>
      </c>
      <c r="E127" s="9" t="s">
        <v>396</v>
      </c>
      <c r="F127" s="9" t="s">
        <v>396</v>
      </c>
      <c r="G127" s="9" t="s">
        <v>326</v>
      </c>
      <c r="H127" s="9" t="s">
        <v>327</v>
      </c>
      <c r="I127" s="9" t="s">
        <v>328</v>
      </c>
      <c r="J127" s="15">
        <v>664900</v>
      </c>
      <c r="K127" s="15">
        <v>110816.67</v>
      </c>
    </row>
    <row r="128" spans="1:11">
      <c r="A128" s="9">
        <f t="shared" si="1"/>
        <v>123</v>
      </c>
      <c r="B128" s="9" t="s">
        <v>378</v>
      </c>
      <c r="C128" s="9" t="s">
        <v>53</v>
      </c>
      <c r="D128" s="9" t="s">
        <v>397</v>
      </c>
      <c r="E128" s="9" t="s">
        <v>398</v>
      </c>
      <c r="F128" s="9" t="s">
        <v>398</v>
      </c>
      <c r="G128" s="9" t="s">
        <v>207</v>
      </c>
      <c r="H128" s="9" t="s">
        <v>208</v>
      </c>
      <c r="I128" s="9" t="s">
        <v>209</v>
      </c>
      <c r="J128" s="15">
        <v>2650</v>
      </c>
      <c r="K128" s="15">
        <v>441.66</v>
      </c>
    </row>
    <row r="129" spans="1:11">
      <c r="A129" s="9">
        <f t="shared" si="1"/>
        <v>124</v>
      </c>
      <c r="B129" s="9" t="s">
        <v>378</v>
      </c>
      <c r="C129" s="9" t="s">
        <v>53</v>
      </c>
      <c r="D129" s="9" t="s">
        <v>399</v>
      </c>
      <c r="E129" s="9" t="s">
        <v>400</v>
      </c>
      <c r="F129" s="9" t="s">
        <v>400</v>
      </c>
      <c r="G129" s="9" t="s">
        <v>318</v>
      </c>
      <c r="H129" s="9" t="s">
        <v>319</v>
      </c>
      <c r="I129" s="9" t="s">
        <v>320</v>
      </c>
      <c r="J129" s="15">
        <v>607</v>
      </c>
      <c r="K129" s="15">
        <v>88.83</v>
      </c>
    </row>
    <row r="130" spans="1:11">
      <c r="A130" s="9">
        <f t="shared" si="1"/>
        <v>125</v>
      </c>
      <c r="B130" s="9" t="s">
        <v>378</v>
      </c>
      <c r="C130" s="9" t="s">
        <v>53</v>
      </c>
      <c r="D130" s="9" t="s">
        <v>401</v>
      </c>
      <c r="E130" s="9" t="s">
        <v>402</v>
      </c>
      <c r="F130" s="9" t="s">
        <v>402</v>
      </c>
      <c r="G130" s="9" t="s">
        <v>158</v>
      </c>
      <c r="H130" s="9" t="s">
        <v>159</v>
      </c>
      <c r="I130" s="9" t="s">
        <v>160</v>
      </c>
      <c r="J130" s="15">
        <v>238260</v>
      </c>
      <c r="K130" s="15">
        <v>39710</v>
      </c>
    </row>
    <row r="131" spans="1:11">
      <c r="A131" s="9">
        <f t="shared" si="1"/>
        <v>126</v>
      </c>
      <c r="B131" s="9" t="s">
        <v>378</v>
      </c>
      <c r="C131" s="9" t="s">
        <v>53</v>
      </c>
      <c r="D131" s="9" t="s">
        <v>403</v>
      </c>
      <c r="E131" s="9" t="s">
        <v>402</v>
      </c>
      <c r="F131" s="9" t="s">
        <v>402</v>
      </c>
      <c r="G131" s="9" t="s">
        <v>343</v>
      </c>
      <c r="H131" s="9" t="s">
        <v>344</v>
      </c>
      <c r="I131" s="9" t="s">
        <v>345</v>
      </c>
      <c r="J131" s="15">
        <v>106920</v>
      </c>
      <c r="K131" s="15">
        <v>17820</v>
      </c>
    </row>
    <row r="132" spans="1:11">
      <c r="A132" s="9">
        <f t="shared" si="1"/>
        <v>127</v>
      </c>
      <c r="B132" s="9" t="s">
        <v>378</v>
      </c>
      <c r="C132" s="9" t="s">
        <v>53</v>
      </c>
      <c r="D132" s="9" t="s">
        <v>404</v>
      </c>
      <c r="E132" s="9" t="s">
        <v>405</v>
      </c>
      <c r="F132" s="9" t="s">
        <v>405</v>
      </c>
      <c r="G132" s="9" t="s">
        <v>308</v>
      </c>
      <c r="H132" s="9" t="s">
        <v>309</v>
      </c>
      <c r="I132" s="9" t="s">
        <v>310</v>
      </c>
      <c r="J132" s="15">
        <v>50000</v>
      </c>
      <c r="K132" s="15">
        <v>8333.33</v>
      </c>
    </row>
    <row r="133" spans="1:11">
      <c r="A133" s="9">
        <f t="shared" si="1"/>
        <v>128</v>
      </c>
      <c r="B133" s="9" t="s">
        <v>378</v>
      </c>
      <c r="C133" s="9" t="s">
        <v>53</v>
      </c>
      <c r="D133" s="9" t="s">
        <v>406</v>
      </c>
      <c r="E133" s="9" t="s">
        <v>407</v>
      </c>
      <c r="F133" s="9" t="s">
        <v>407</v>
      </c>
      <c r="G133" s="9" t="s">
        <v>308</v>
      </c>
      <c r="H133" s="9" t="s">
        <v>309</v>
      </c>
      <c r="I133" s="9" t="s">
        <v>310</v>
      </c>
      <c r="J133" s="15">
        <v>20000</v>
      </c>
      <c r="K133" s="15">
        <v>3333.33</v>
      </c>
    </row>
    <row r="134" spans="1:11">
      <c r="A134" s="9">
        <f t="shared" si="1"/>
        <v>129</v>
      </c>
      <c r="B134" s="9" t="s">
        <v>378</v>
      </c>
      <c r="C134" s="9" t="s">
        <v>53</v>
      </c>
      <c r="D134" s="9" t="s">
        <v>408</v>
      </c>
      <c r="E134" s="9" t="s">
        <v>407</v>
      </c>
      <c r="F134" s="9" t="s">
        <v>407</v>
      </c>
      <c r="G134" s="9" t="s">
        <v>409</v>
      </c>
      <c r="H134" s="9" t="s">
        <v>410</v>
      </c>
      <c r="I134" s="9" t="s">
        <v>411</v>
      </c>
      <c r="J134" s="15">
        <v>618096</v>
      </c>
      <c r="K134" s="15">
        <v>103016</v>
      </c>
    </row>
    <row r="135" spans="1:11">
      <c r="A135" s="9">
        <f t="shared" ref="A135:A198" si="2">A134+1</f>
        <v>130</v>
      </c>
      <c r="B135" s="9" t="s">
        <v>378</v>
      </c>
      <c r="C135" s="9" t="s">
        <v>53</v>
      </c>
      <c r="D135" s="9" t="s">
        <v>412</v>
      </c>
      <c r="E135" s="9" t="s">
        <v>413</v>
      </c>
      <c r="F135" s="9" t="s">
        <v>413</v>
      </c>
      <c r="G135" s="9" t="s">
        <v>308</v>
      </c>
      <c r="H135" s="9" t="s">
        <v>309</v>
      </c>
      <c r="I135" s="9" t="s">
        <v>310</v>
      </c>
      <c r="J135" s="15">
        <v>6500</v>
      </c>
      <c r="K135" s="15">
        <v>1083.33</v>
      </c>
    </row>
    <row r="136" spans="1:11">
      <c r="A136" s="9">
        <f t="shared" si="2"/>
        <v>131</v>
      </c>
      <c r="B136" s="9" t="s">
        <v>378</v>
      </c>
      <c r="C136" s="9" t="s">
        <v>53</v>
      </c>
      <c r="D136" s="9" t="s">
        <v>71</v>
      </c>
      <c r="E136" s="9" t="s">
        <v>414</v>
      </c>
      <c r="F136" s="9" t="s">
        <v>414</v>
      </c>
      <c r="G136" s="9" t="s">
        <v>138</v>
      </c>
      <c r="H136" s="9" t="s">
        <v>139</v>
      </c>
      <c r="I136" s="9" t="s">
        <v>140</v>
      </c>
      <c r="J136" s="15">
        <v>125000</v>
      </c>
      <c r="K136" s="15">
        <v>20833.330000000002</v>
      </c>
    </row>
    <row r="137" spans="1:11">
      <c r="A137" s="9">
        <f t="shared" si="2"/>
        <v>132</v>
      </c>
      <c r="B137" s="9" t="s">
        <v>378</v>
      </c>
      <c r="C137" s="9" t="s">
        <v>53</v>
      </c>
      <c r="D137" s="9" t="s">
        <v>415</v>
      </c>
      <c r="E137" s="9" t="s">
        <v>414</v>
      </c>
      <c r="F137" s="9" t="s">
        <v>414</v>
      </c>
      <c r="G137" s="9" t="s">
        <v>326</v>
      </c>
      <c r="H137" s="9" t="s">
        <v>327</v>
      </c>
      <c r="I137" s="9" t="s">
        <v>328</v>
      </c>
      <c r="J137" s="15">
        <v>611688</v>
      </c>
      <c r="K137" s="15">
        <v>101948</v>
      </c>
    </row>
    <row r="138" spans="1:11">
      <c r="A138" s="9">
        <f t="shared" si="2"/>
        <v>133</v>
      </c>
      <c r="B138" s="9" t="s">
        <v>378</v>
      </c>
      <c r="C138" s="9" t="s">
        <v>53</v>
      </c>
      <c r="D138" s="9" t="s">
        <v>416</v>
      </c>
      <c r="E138" s="9" t="s">
        <v>414</v>
      </c>
      <c r="F138" s="9" t="s">
        <v>414</v>
      </c>
      <c r="G138" s="9" t="s">
        <v>102</v>
      </c>
      <c r="H138" s="9" t="s">
        <v>103</v>
      </c>
      <c r="I138" s="9" t="s">
        <v>104</v>
      </c>
      <c r="J138" s="15">
        <v>5406</v>
      </c>
      <c r="K138" s="15">
        <v>901</v>
      </c>
    </row>
    <row r="139" spans="1:11">
      <c r="A139" s="9">
        <f t="shared" si="2"/>
        <v>134</v>
      </c>
      <c r="B139" s="9" t="s">
        <v>378</v>
      </c>
      <c r="C139" s="9" t="s">
        <v>53</v>
      </c>
      <c r="D139" s="9" t="s">
        <v>417</v>
      </c>
      <c r="E139" s="9" t="s">
        <v>418</v>
      </c>
      <c r="F139" s="9" t="s">
        <v>418</v>
      </c>
      <c r="G139" s="9" t="s">
        <v>308</v>
      </c>
      <c r="H139" s="9" t="s">
        <v>309</v>
      </c>
      <c r="I139" s="9" t="s">
        <v>310</v>
      </c>
      <c r="J139" s="15">
        <v>28000</v>
      </c>
      <c r="K139" s="15">
        <v>4666.67</v>
      </c>
    </row>
    <row r="140" spans="1:11" ht="30">
      <c r="A140" s="9">
        <f t="shared" si="2"/>
        <v>135</v>
      </c>
      <c r="B140" s="9" t="s">
        <v>378</v>
      </c>
      <c r="C140" s="9" t="s">
        <v>53</v>
      </c>
      <c r="D140" s="9" t="s">
        <v>419</v>
      </c>
      <c r="E140" s="9" t="s">
        <v>418</v>
      </c>
      <c r="F140" s="9" t="s">
        <v>418</v>
      </c>
      <c r="G140" s="9" t="s">
        <v>420</v>
      </c>
      <c r="H140" s="9" t="s">
        <v>421</v>
      </c>
      <c r="I140" s="9" t="s">
        <v>422</v>
      </c>
      <c r="J140" s="15">
        <v>3835.24</v>
      </c>
      <c r="K140" s="15">
        <v>639.21</v>
      </c>
    </row>
    <row r="141" spans="1:11">
      <c r="A141" s="9">
        <f t="shared" si="2"/>
        <v>136</v>
      </c>
      <c r="B141" s="9" t="s">
        <v>378</v>
      </c>
      <c r="C141" s="9" t="s">
        <v>53</v>
      </c>
      <c r="D141" s="9" t="s">
        <v>423</v>
      </c>
      <c r="E141" s="9" t="s">
        <v>424</v>
      </c>
      <c r="F141" s="9" t="s">
        <v>424</v>
      </c>
      <c r="G141" s="9" t="s">
        <v>425</v>
      </c>
      <c r="H141" s="9" t="s">
        <v>208</v>
      </c>
      <c r="I141" s="9" t="s">
        <v>426</v>
      </c>
      <c r="J141" s="15">
        <v>17900</v>
      </c>
      <c r="K141" s="15">
        <v>2983.34</v>
      </c>
    </row>
    <row r="142" spans="1:11">
      <c r="A142" s="9">
        <f t="shared" si="2"/>
        <v>137</v>
      </c>
      <c r="B142" s="9" t="s">
        <v>378</v>
      </c>
      <c r="C142" s="9" t="s">
        <v>53</v>
      </c>
      <c r="D142" s="9" t="s">
        <v>427</v>
      </c>
      <c r="E142" s="9" t="s">
        <v>424</v>
      </c>
      <c r="F142" s="9" t="s">
        <v>424</v>
      </c>
      <c r="G142" s="9" t="s">
        <v>313</v>
      </c>
      <c r="H142" s="9" t="s">
        <v>314</v>
      </c>
      <c r="I142" s="9" t="s">
        <v>315</v>
      </c>
      <c r="J142" s="15">
        <v>30000</v>
      </c>
      <c r="K142" s="15">
        <v>5000</v>
      </c>
    </row>
    <row r="143" spans="1:11">
      <c r="A143" s="9">
        <f t="shared" si="2"/>
        <v>138</v>
      </c>
      <c r="B143" s="9" t="s">
        <v>378</v>
      </c>
      <c r="C143" s="9" t="s">
        <v>53</v>
      </c>
      <c r="D143" s="9" t="s">
        <v>428</v>
      </c>
      <c r="E143" s="9" t="s">
        <v>429</v>
      </c>
      <c r="F143" s="9" t="s">
        <v>429</v>
      </c>
      <c r="G143" s="9" t="s">
        <v>326</v>
      </c>
      <c r="H143" s="9" t="s">
        <v>327</v>
      </c>
      <c r="I143" s="9" t="s">
        <v>328</v>
      </c>
      <c r="J143" s="15">
        <v>557816</v>
      </c>
      <c r="K143" s="15">
        <v>92969.34</v>
      </c>
    </row>
    <row r="144" spans="1:11">
      <c r="A144" s="9">
        <f t="shared" si="2"/>
        <v>139</v>
      </c>
      <c r="B144" s="9" t="s">
        <v>378</v>
      </c>
      <c r="C144" s="9" t="s">
        <v>53</v>
      </c>
      <c r="D144" s="9" t="s">
        <v>430</v>
      </c>
      <c r="E144" s="9" t="s">
        <v>429</v>
      </c>
      <c r="F144" s="9" t="s">
        <v>429</v>
      </c>
      <c r="G144" s="9" t="s">
        <v>102</v>
      </c>
      <c r="H144" s="9" t="s">
        <v>103</v>
      </c>
      <c r="I144" s="9" t="s">
        <v>104</v>
      </c>
      <c r="J144" s="15">
        <v>1298</v>
      </c>
      <c r="K144" s="15">
        <v>216.33</v>
      </c>
    </row>
    <row r="145" spans="1:11">
      <c r="A145" s="9">
        <f t="shared" si="2"/>
        <v>140</v>
      </c>
      <c r="B145" s="9" t="s">
        <v>378</v>
      </c>
      <c r="C145" s="9" t="s">
        <v>53</v>
      </c>
      <c r="D145" s="9" t="s">
        <v>431</v>
      </c>
      <c r="E145" s="9" t="s">
        <v>429</v>
      </c>
      <c r="F145" s="9" t="s">
        <v>429</v>
      </c>
      <c r="G145" s="9" t="s">
        <v>432</v>
      </c>
      <c r="H145" s="9" t="s">
        <v>344</v>
      </c>
      <c r="I145" s="9" t="s">
        <v>433</v>
      </c>
      <c r="J145" s="15">
        <v>25000</v>
      </c>
      <c r="K145" s="15">
        <v>4166.67</v>
      </c>
    </row>
    <row r="146" spans="1:11">
      <c r="A146" s="9">
        <f t="shared" si="2"/>
        <v>141</v>
      </c>
      <c r="B146" s="9" t="s">
        <v>378</v>
      </c>
      <c r="C146" s="9" t="s">
        <v>53</v>
      </c>
      <c r="D146" s="9" t="s">
        <v>434</v>
      </c>
      <c r="E146" s="9" t="s">
        <v>435</v>
      </c>
      <c r="F146" s="9" t="s">
        <v>435</v>
      </c>
      <c r="G146" s="9" t="s">
        <v>436</v>
      </c>
      <c r="H146" s="9" t="s">
        <v>437</v>
      </c>
      <c r="I146" s="9" t="s">
        <v>438</v>
      </c>
      <c r="J146" s="15">
        <v>121622</v>
      </c>
      <c r="K146" s="15">
        <v>20270.330000000002</v>
      </c>
    </row>
    <row r="147" spans="1:11">
      <c r="A147" s="9">
        <f t="shared" si="2"/>
        <v>142</v>
      </c>
      <c r="B147" s="9" t="s">
        <v>378</v>
      </c>
      <c r="C147" s="9" t="s">
        <v>53</v>
      </c>
      <c r="D147" s="9" t="s">
        <v>439</v>
      </c>
      <c r="E147" s="9" t="s">
        <v>440</v>
      </c>
      <c r="F147" s="9" t="s">
        <v>440</v>
      </c>
      <c r="G147" s="9" t="s">
        <v>441</v>
      </c>
      <c r="H147" s="9" t="s">
        <v>442</v>
      </c>
      <c r="I147" s="9" t="s">
        <v>443</v>
      </c>
      <c r="J147" s="15">
        <v>458850</v>
      </c>
      <c r="K147" s="15">
        <v>76475</v>
      </c>
    </row>
    <row r="148" spans="1:11">
      <c r="A148" s="9">
        <f t="shared" si="2"/>
        <v>143</v>
      </c>
      <c r="B148" s="9" t="s">
        <v>378</v>
      </c>
      <c r="C148" s="9" t="s">
        <v>53</v>
      </c>
      <c r="D148" s="9" t="s">
        <v>444</v>
      </c>
      <c r="E148" s="9" t="s">
        <v>440</v>
      </c>
      <c r="F148" s="9" t="s">
        <v>440</v>
      </c>
      <c r="G148" s="9" t="s">
        <v>158</v>
      </c>
      <c r="H148" s="9" t="s">
        <v>159</v>
      </c>
      <c r="I148" s="9" t="s">
        <v>160</v>
      </c>
      <c r="J148" s="15">
        <v>244160</v>
      </c>
      <c r="K148" s="15">
        <v>40693.33</v>
      </c>
    </row>
    <row r="149" spans="1:11">
      <c r="A149" s="9">
        <f t="shared" si="2"/>
        <v>144</v>
      </c>
      <c r="B149" s="9" t="s">
        <v>378</v>
      </c>
      <c r="C149" s="9" t="s">
        <v>53</v>
      </c>
      <c r="D149" s="9" t="s">
        <v>445</v>
      </c>
      <c r="E149" s="9" t="s">
        <v>440</v>
      </c>
      <c r="F149" s="9" t="s">
        <v>440</v>
      </c>
      <c r="G149" s="9" t="s">
        <v>299</v>
      </c>
      <c r="H149" s="9" t="s">
        <v>300</v>
      </c>
      <c r="I149" s="9" t="s">
        <v>301</v>
      </c>
      <c r="J149" s="15">
        <v>284871</v>
      </c>
      <c r="K149" s="15">
        <v>47478.5</v>
      </c>
    </row>
    <row r="150" spans="1:11">
      <c r="A150" s="9">
        <f t="shared" si="2"/>
        <v>145</v>
      </c>
      <c r="B150" s="9" t="s">
        <v>378</v>
      </c>
      <c r="C150" s="9" t="s">
        <v>53</v>
      </c>
      <c r="D150" s="9" t="s">
        <v>446</v>
      </c>
      <c r="E150" s="9" t="s">
        <v>447</v>
      </c>
      <c r="F150" s="9" t="s">
        <v>447</v>
      </c>
      <c r="G150" s="9" t="s">
        <v>304</v>
      </c>
      <c r="H150" s="9" t="s">
        <v>294</v>
      </c>
      <c r="I150" s="9" t="s">
        <v>305</v>
      </c>
      <c r="J150" s="15">
        <v>8000</v>
      </c>
      <c r="K150" s="15">
        <v>1333.33</v>
      </c>
    </row>
    <row r="151" spans="1:11">
      <c r="A151" s="9">
        <f t="shared" si="2"/>
        <v>146</v>
      </c>
      <c r="B151" s="9" t="s">
        <v>378</v>
      </c>
      <c r="C151" s="9" t="s">
        <v>53</v>
      </c>
      <c r="D151" s="9" t="s">
        <v>448</v>
      </c>
      <c r="E151" s="9" t="s">
        <v>447</v>
      </c>
      <c r="F151" s="9" t="s">
        <v>449</v>
      </c>
      <c r="G151" s="9" t="s">
        <v>158</v>
      </c>
      <c r="H151" s="9" t="s">
        <v>159</v>
      </c>
      <c r="I151" s="9" t="s">
        <v>160</v>
      </c>
      <c r="J151" s="15">
        <v>70000</v>
      </c>
      <c r="K151" s="15">
        <v>11666.66</v>
      </c>
    </row>
    <row r="152" spans="1:11">
      <c r="A152" s="9">
        <f t="shared" si="2"/>
        <v>147</v>
      </c>
      <c r="B152" s="9" t="s">
        <v>378</v>
      </c>
      <c r="C152" s="9" t="s">
        <v>53</v>
      </c>
      <c r="D152" s="9" t="s">
        <v>450</v>
      </c>
      <c r="E152" s="9" t="s">
        <v>449</v>
      </c>
      <c r="F152" s="9" t="s">
        <v>449</v>
      </c>
      <c r="G152" s="9" t="s">
        <v>308</v>
      </c>
      <c r="H152" s="9" t="s">
        <v>309</v>
      </c>
      <c r="I152" s="9" t="s">
        <v>310</v>
      </c>
      <c r="J152" s="15">
        <v>6500</v>
      </c>
      <c r="K152" s="15">
        <v>1083.33</v>
      </c>
    </row>
    <row r="153" spans="1:11" ht="30">
      <c r="A153" s="9">
        <f t="shared" si="2"/>
        <v>148</v>
      </c>
      <c r="B153" s="9" t="s">
        <v>378</v>
      </c>
      <c r="C153" s="9" t="s">
        <v>53</v>
      </c>
      <c r="D153" s="9" t="s">
        <v>451</v>
      </c>
      <c r="E153" s="9" t="s">
        <v>452</v>
      </c>
      <c r="F153" s="9" t="s">
        <v>452</v>
      </c>
      <c r="G153" s="9" t="s">
        <v>453</v>
      </c>
      <c r="H153" s="9" t="s">
        <v>57</v>
      </c>
      <c r="I153" s="9" t="s">
        <v>454</v>
      </c>
      <c r="J153" s="15">
        <v>5292</v>
      </c>
      <c r="K153" s="15">
        <v>882</v>
      </c>
    </row>
    <row r="154" spans="1:11">
      <c r="A154" s="9">
        <f t="shared" si="2"/>
        <v>149</v>
      </c>
      <c r="B154" s="9" t="s">
        <v>378</v>
      </c>
      <c r="C154" s="9" t="s">
        <v>53</v>
      </c>
      <c r="D154" s="9" t="s">
        <v>455</v>
      </c>
      <c r="E154" s="9" t="s">
        <v>456</v>
      </c>
      <c r="F154" s="9" t="s">
        <v>456</v>
      </c>
      <c r="G154" s="9" t="s">
        <v>409</v>
      </c>
      <c r="H154" s="9" t="s">
        <v>410</v>
      </c>
      <c r="I154" s="9" t="s">
        <v>411</v>
      </c>
      <c r="J154" s="15">
        <v>669564</v>
      </c>
      <c r="K154" s="15">
        <v>111594</v>
      </c>
    </row>
    <row r="155" spans="1:11">
      <c r="A155" s="9">
        <f t="shared" si="2"/>
        <v>150</v>
      </c>
      <c r="B155" s="9" t="s">
        <v>378</v>
      </c>
      <c r="C155" s="9" t="s">
        <v>53</v>
      </c>
      <c r="D155" s="9" t="s">
        <v>457</v>
      </c>
      <c r="E155" s="9" t="s">
        <v>458</v>
      </c>
      <c r="F155" s="9" t="s">
        <v>458</v>
      </c>
      <c r="G155" s="9" t="s">
        <v>102</v>
      </c>
      <c r="H155" s="9" t="s">
        <v>103</v>
      </c>
      <c r="I155" s="9" t="s">
        <v>104</v>
      </c>
      <c r="J155" s="15">
        <v>4680</v>
      </c>
      <c r="K155" s="15">
        <v>780</v>
      </c>
    </row>
    <row r="156" spans="1:11">
      <c r="A156" s="9">
        <f t="shared" si="2"/>
        <v>151</v>
      </c>
      <c r="B156" s="9" t="s">
        <v>378</v>
      </c>
      <c r="C156" s="9" t="s">
        <v>53</v>
      </c>
      <c r="D156" s="9" t="s">
        <v>459</v>
      </c>
      <c r="E156" s="9" t="s">
        <v>458</v>
      </c>
      <c r="F156" s="9" t="s">
        <v>458</v>
      </c>
      <c r="G156" s="9" t="s">
        <v>179</v>
      </c>
      <c r="H156" s="9" t="s">
        <v>180</v>
      </c>
      <c r="I156" s="9" t="s">
        <v>181</v>
      </c>
      <c r="J156" s="15">
        <v>60000</v>
      </c>
      <c r="K156" s="15">
        <v>10000</v>
      </c>
    </row>
    <row r="157" spans="1:11">
      <c r="A157" s="9">
        <f t="shared" si="2"/>
        <v>152</v>
      </c>
      <c r="B157" s="9" t="s">
        <v>378</v>
      </c>
      <c r="C157" s="9" t="s">
        <v>53</v>
      </c>
      <c r="D157" s="9" t="s">
        <v>460</v>
      </c>
      <c r="E157" s="9" t="s">
        <v>458</v>
      </c>
      <c r="F157" s="9" t="s">
        <v>458</v>
      </c>
      <c r="G157" s="9" t="s">
        <v>318</v>
      </c>
      <c r="H157" s="9" t="s">
        <v>319</v>
      </c>
      <c r="I157" s="9" t="s">
        <v>320</v>
      </c>
      <c r="J157" s="15">
        <v>1801</v>
      </c>
      <c r="K157" s="15">
        <v>262.83</v>
      </c>
    </row>
    <row r="158" spans="1:11">
      <c r="A158" s="9">
        <f t="shared" si="2"/>
        <v>153</v>
      </c>
      <c r="B158" s="9" t="s">
        <v>378</v>
      </c>
      <c r="C158" s="9" t="s">
        <v>53</v>
      </c>
      <c r="D158" s="9" t="s">
        <v>461</v>
      </c>
      <c r="E158" s="9" t="s">
        <v>458</v>
      </c>
      <c r="F158" s="9" t="s">
        <v>458</v>
      </c>
      <c r="G158" s="9" t="s">
        <v>318</v>
      </c>
      <c r="H158" s="9" t="s">
        <v>319</v>
      </c>
      <c r="I158" s="9" t="s">
        <v>320</v>
      </c>
      <c r="J158" s="15">
        <v>1140</v>
      </c>
      <c r="K158" s="15">
        <v>174</v>
      </c>
    </row>
    <row r="159" spans="1:11">
      <c r="A159" s="9">
        <f t="shared" si="2"/>
        <v>154</v>
      </c>
      <c r="B159" s="9" t="s">
        <v>378</v>
      </c>
      <c r="C159" s="9" t="s">
        <v>53</v>
      </c>
      <c r="D159" s="9" t="s">
        <v>462</v>
      </c>
      <c r="E159" s="9" t="s">
        <v>458</v>
      </c>
      <c r="F159" s="9" t="s">
        <v>458</v>
      </c>
      <c r="G159" s="9" t="s">
        <v>102</v>
      </c>
      <c r="H159" s="9" t="s">
        <v>103</v>
      </c>
      <c r="I159" s="9" t="s">
        <v>104</v>
      </c>
      <c r="J159" s="15">
        <v>4777</v>
      </c>
      <c r="K159" s="15">
        <v>796.16</v>
      </c>
    </row>
    <row r="160" spans="1:11">
      <c r="A160" s="9">
        <f t="shared" si="2"/>
        <v>155</v>
      </c>
      <c r="B160" s="9" t="s">
        <v>378</v>
      </c>
      <c r="C160" s="9" t="s">
        <v>71</v>
      </c>
      <c r="D160" s="9" t="s">
        <v>463</v>
      </c>
      <c r="E160" s="9" t="s">
        <v>464</v>
      </c>
      <c r="F160" s="9" t="s">
        <v>36</v>
      </c>
      <c r="G160" s="9" t="s">
        <v>74</v>
      </c>
      <c r="H160" s="9" t="s">
        <v>75</v>
      </c>
      <c r="I160" s="9" t="s">
        <v>38</v>
      </c>
      <c r="J160" s="15">
        <v>40950</v>
      </c>
      <c r="K160" s="15">
        <v>6825</v>
      </c>
    </row>
    <row r="161" spans="1:11">
      <c r="A161" s="9">
        <f t="shared" si="2"/>
        <v>156</v>
      </c>
      <c r="B161" s="9" t="s">
        <v>378</v>
      </c>
      <c r="C161" s="9" t="s">
        <v>71</v>
      </c>
      <c r="D161" s="9" t="s">
        <v>465</v>
      </c>
      <c r="E161" s="9" t="s">
        <v>464</v>
      </c>
      <c r="F161" s="9" t="s">
        <v>36</v>
      </c>
      <c r="G161" s="9" t="s">
        <v>74</v>
      </c>
      <c r="H161" s="9" t="s">
        <v>75</v>
      </c>
      <c r="I161" s="9" t="s">
        <v>38</v>
      </c>
      <c r="J161" s="15">
        <v>50050</v>
      </c>
      <c r="K161" s="15">
        <v>8341.67</v>
      </c>
    </row>
    <row r="162" spans="1:11">
      <c r="A162" s="9">
        <f t="shared" si="2"/>
        <v>157</v>
      </c>
      <c r="B162" s="9" t="s">
        <v>378</v>
      </c>
      <c r="C162" s="9" t="s">
        <v>53</v>
      </c>
      <c r="D162" s="9" t="s">
        <v>466</v>
      </c>
      <c r="E162" s="9" t="s">
        <v>467</v>
      </c>
      <c r="F162" s="9" t="s">
        <v>467</v>
      </c>
      <c r="G162" s="9" t="s">
        <v>326</v>
      </c>
      <c r="H162" s="9" t="s">
        <v>327</v>
      </c>
      <c r="I162" s="9" t="s">
        <v>328</v>
      </c>
      <c r="J162" s="15">
        <v>479600</v>
      </c>
      <c r="K162" s="15">
        <v>79933.34</v>
      </c>
    </row>
    <row r="163" spans="1:11">
      <c r="A163" s="9">
        <f t="shared" si="2"/>
        <v>158</v>
      </c>
      <c r="B163" s="9" t="s">
        <v>378</v>
      </c>
      <c r="C163" s="9" t="s">
        <v>53</v>
      </c>
      <c r="D163" s="9" t="s">
        <v>468</v>
      </c>
      <c r="E163" s="9" t="s">
        <v>467</v>
      </c>
      <c r="F163" s="9" t="s">
        <v>467</v>
      </c>
      <c r="G163" s="9" t="s">
        <v>179</v>
      </c>
      <c r="H163" s="9" t="s">
        <v>180</v>
      </c>
      <c r="I163" s="9" t="s">
        <v>181</v>
      </c>
      <c r="J163" s="15">
        <v>26500</v>
      </c>
      <c r="K163" s="15">
        <v>4416.67</v>
      </c>
    </row>
    <row r="164" spans="1:11" ht="30">
      <c r="A164" s="9">
        <f t="shared" si="2"/>
        <v>159</v>
      </c>
      <c r="B164" s="9" t="s">
        <v>378</v>
      </c>
      <c r="C164" s="9" t="s">
        <v>53</v>
      </c>
      <c r="D164" s="9" t="s">
        <v>469</v>
      </c>
      <c r="E164" s="9" t="s">
        <v>470</v>
      </c>
      <c r="F164" s="9" t="s">
        <v>470</v>
      </c>
      <c r="G164" s="9" t="s">
        <v>471</v>
      </c>
      <c r="H164" s="9" t="s">
        <v>472</v>
      </c>
      <c r="I164" s="9" t="s">
        <v>473</v>
      </c>
      <c r="J164" s="15">
        <v>45579</v>
      </c>
      <c r="K164" s="15">
        <v>7596.5</v>
      </c>
    </row>
    <row r="165" spans="1:11">
      <c r="A165" s="9">
        <f t="shared" si="2"/>
        <v>160</v>
      </c>
      <c r="B165" s="9" t="s">
        <v>378</v>
      </c>
      <c r="C165" s="9" t="s">
        <v>53</v>
      </c>
      <c r="D165" s="9" t="s">
        <v>474</v>
      </c>
      <c r="E165" s="9" t="s">
        <v>475</v>
      </c>
      <c r="F165" s="9" t="s">
        <v>475</v>
      </c>
      <c r="G165" s="9" t="s">
        <v>326</v>
      </c>
      <c r="H165" s="9" t="s">
        <v>327</v>
      </c>
      <c r="I165" s="9" t="s">
        <v>328</v>
      </c>
      <c r="J165" s="15">
        <v>574420</v>
      </c>
      <c r="K165" s="15">
        <v>95736.66</v>
      </c>
    </row>
    <row r="166" spans="1:11">
      <c r="A166" s="9">
        <f t="shared" si="2"/>
        <v>161</v>
      </c>
      <c r="B166" s="9" t="s">
        <v>378</v>
      </c>
      <c r="C166" s="9" t="s">
        <v>71</v>
      </c>
      <c r="D166" s="9" t="s">
        <v>476</v>
      </c>
      <c r="E166" s="9" t="s">
        <v>458</v>
      </c>
      <c r="F166" s="9" t="s">
        <v>36</v>
      </c>
      <c r="G166" s="9" t="s">
        <v>74</v>
      </c>
      <c r="H166" s="9" t="s">
        <v>75</v>
      </c>
      <c r="I166" s="9" t="s">
        <v>38</v>
      </c>
      <c r="J166" s="15">
        <v>500000</v>
      </c>
      <c r="K166" s="15">
        <v>83333.33</v>
      </c>
    </row>
    <row r="167" spans="1:11">
      <c r="A167" s="9">
        <f t="shared" si="2"/>
        <v>162</v>
      </c>
      <c r="B167" s="9" t="s">
        <v>378</v>
      </c>
      <c r="C167" s="9" t="s">
        <v>53</v>
      </c>
      <c r="D167" s="9" t="s">
        <v>477</v>
      </c>
      <c r="E167" s="9" t="s">
        <v>478</v>
      </c>
      <c r="F167" s="9" t="s">
        <v>478</v>
      </c>
      <c r="G167" s="9" t="s">
        <v>479</v>
      </c>
      <c r="H167" s="9" t="s">
        <v>327</v>
      </c>
      <c r="I167" s="9" t="s">
        <v>480</v>
      </c>
      <c r="J167" s="15">
        <v>25000</v>
      </c>
      <c r="K167" s="15">
        <v>4166.67</v>
      </c>
    </row>
    <row r="168" spans="1:11">
      <c r="A168" s="9">
        <f t="shared" si="2"/>
        <v>163</v>
      </c>
      <c r="B168" s="9" t="s">
        <v>378</v>
      </c>
      <c r="C168" s="9" t="s">
        <v>71</v>
      </c>
      <c r="D168" s="9" t="s">
        <v>481</v>
      </c>
      <c r="E168" s="9" t="s">
        <v>482</v>
      </c>
      <c r="F168" s="9" t="s">
        <v>36</v>
      </c>
      <c r="G168" s="9" t="s">
        <v>74</v>
      </c>
      <c r="H168" s="9" t="s">
        <v>75</v>
      </c>
      <c r="I168" s="9" t="s">
        <v>38</v>
      </c>
      <c r="J168" s="15">
        <v>664000</v>
      </c>
      <c r="K168" s="15">
        <v>110666.67</v>
      </c>
    </row>
    <row r="169" spans="1:11">
      <c r="A169" s="9">
        <f t="shared" si="2"/>
        <v>164</v>
      </c>
      <c r="B169" s="9" t="s">
        <v>378</v>
      </c>
      <c r="C169" s="9" t="s">
        <v>53</v>
      </c>
      <c r="D169" s="9" t="s">
        <v>483</v>
      </c>
      <c r="E169" s="9" t="s">
        <v>484</v>
      </c>
      <c r="F169" s="9" t="s">
        <v>484</v>
      </c>
      <c r="G169" s="9" t="s">
        <v>409</v>
      </c>
      <c r="H169" s="9" t="s">
        <v>410</v>
      </c>
      <c r="I169" s="9" t="s">
        <v>411</v>
      </c>
      <c r="J169" s="15">
        <v>453654</v>
      </c>
      <c r="K169" s="15">
        <v>75609</v>
      </c>
    </row>
    <row r="170" spans="1:11">
      <c r="A170" s="9">
        <f t="shared" si="2"/>
        <v>165</v>
      </c>
      <c r="B170" s="9" t="s">
        <v>378</v>
      </c>
      <c r="C170" s="9" t="s">
        <v>53</v>
      </c>
      <c r="D170" s="9" t="s">
        <v>485</v>
      </c>
      <c r="E170" s="9" t="s">
        <v>486</v>
      </c>
      <c r="F170" s="9" t="s">
        <v>486</v>
      </c>
      <c r="G170" s="9" t="s">
        <v>102</v>
      </c>
      <c r="H170" s="9" t="s">
        <v>103</v>
      </c>
      <c r="I170" s="9" t="s">
        <v>104</v>
      </c>
      <c r="J170" s="15">
        <v>20461</v>
      </c>
      <c r="K170" s="15">
        <v>3410.17</v>
      </c>
    </row>
    <row r="171" spans="1:11">
      <c r="A171" s="9">
        <f t="shared" si="2"/>
        <v>166</v>
      </c>
      <c r="B171" s="9" t="s">
        <v>378</v>
      </c>
      <c r="C171" s="9" t="s">
        <v>53</v>
      </c>
      <c r="D171" s="9" t="s">
        <v>487</v>
      </c>
      <c r="E171" s="9" t="s">
        <v>488</v>
      </c>
      <c r="F171" s="9" t="s">
        <v>488</v>
      </c>
      <c r="G171" s="9" t="s">
        <v>299</v>
      </c>
      <c r="H171" s="9" t="s">
        <v>300</v>
      </c>
      <c r="I171" s="9" t="s">
        <v>301</v>
      </c>
      <c r="J171" s="15">
        <v>294120</v>
      </c>
      <c r="K171" s="15">
        <v>49020</v>
      </c>
    </row>
    <row r="172" spans="1:11" ht="30">
      <c r="A172" s="9">
        <f t="shared" si="2"/>
        <v>167</v>
      </c>
      <c r="B172" s="9" t="s">
        <v>378</v>
      </c>
      <c r="C172" s="9" t="s">
        <v>53</v>
      </c>
      <c r="D172" s="9" t="s">
        <v>489</v>
      </c>
      <c r="E172" s="9" t="s">
        <v>490</v>
      </c>
      <c r="F172" s="9" t="s">
        <v>490</v>
      </c>
      <c r="G172" s="9" t="s">
        <v>453</v>
      </c>
      <c r="H172" s="9" t="s">
        <v>57</v>
      </c>
      <c r="I172" s="9" t="s">
        <v>454</v>
      </c>
      <c r="J172" s="15">
        <v>62680</v>
      </c>
      <c r="K172" s="15">
        <v>10446.67</v>
      </c>
    </row>
    <row r="173" spans="1:11">
      <c r="A173" s="9">
        <f t="shared" si="2"/>
        <v>168</v>
      </c>
      <c r="B173" s="9" t="s">
        <v>378</v>
      </c>
      <c r="C173" s="9" t="s">
        <v>53</v>
      </c>
      <c r="D173" s="9" t="s">
        <v>491</v>
      </c>
      <c r="E173" s="9" t="s">
        <v>492</v>
      </c>
      <c r="F173" s="9" t="s">
        <v>492</v>
      </c>
      <c r="G173" s="9" t="s">
        <v>326</v>
      </c>
      <c r="H173" s="9" t="s">
        <v>327</v>
      </c>
      <c r="I173" s="9" t="s">
        <v>328</v>
      </c>
      <c r="J173" s="15">
        <v>652935</v>
      </c>
      <c r="K173" s="15">
        <v>108822.5</v>
      </c>
    </row>
    <row r="174" spans="1:11">
      <c r="A174" s="9">
        <f t="shared" si="2"/>
        <v>169</v>
      </c>
      <c r="B174" s="9" t="s">
        <v>378</v>
      </c>
      <c r="C174" s="9" t="s">
        <v>53</v>
      </c>
      <c r="D174" s="9" t="s">
        <v>493</v>
      </c>
      <c r="E174" s="9" t="s">
        <v>492</v>
      </c>
      <c r="F174" s="9" t="s">
        <v>492</v>
      </c>
      <c r="G174" s="9" t="s">
        <v>318</v>
      </c>
      <c r="H174" s="9" t="s">
        <v>319</v>
      </c>
      <c r="I174" s="9" t="s">
        <v>320</v>
      </c>
      <c r="J174" s="15">
        <v>2364</v>
      </c>
      <c r="K174" s="15">
        <v>340.67</v>
      </c>
    </row>
    <row r="175" spans="1:11">
      <c r="A175" s="9">
        <f t="shared" si="2"/>
        <v>170</v>
      </c>
      <c r="B175" s="9" t="s">
        <v>378</v>
      </c>
      <c r="C175" s="9" t="s">
        <v>53</v>
      </c>
      <c r="D175" s="9" t="s">
        <v>494</v>
      </c>
      <c r="E175" s="9" t="s">
        <v>492</v>
      </c>
      <c r="F175" s="9" t="s">
        <v>492</v>
      </c>
      <c r="G175" s="9" t="s">
        <v>158</v>
      </c>
      <c r="H175" s="9" t="s">
        <v>159</v>
      </c>
      <c r="I175" s="9" t="s">
        <v>160</v>
      </c>
      <c r="J175" s="15">
        <v>35000</v>
      </c>
      <c r="K175" s="15">
        <v>5833.33</v>
      </c>
    </row>
    <row r="176" spans="1:11">
      <c r="A176" s="9">
        <f t="shared" si="2"/>
        <v>171</v>
      </c>
      <c r="B176" s="9" t="s">
        <v>378</v>
      </c>
      <c r="C176" s="9" t="s">
        <v>53</v>
      </c>
      <c r="D176" s="9" t="s">
        <v>495</v>
      </c>
      <c r="E176" s="9" t="s">
        <v>363</v>
      </c>
      <c r="F176" s="9" t="s">
        <v>496</v>
      </c>
      <c r="G176" s="9" t="s">
        <v>299</v>
      </c>
      <c r="H176" s="9" t="s">
        <v>300</v>
      </c>
      <c r="I176" s="9" t="s">
        <v>301</v>
      </c>
      <c r="J176" s="15">
        <v>266560</v>
      </c>
      <c r="K176" s="15">
        <v>44426.67</v>
      </c>
    </row>
    <row r="177" spans="1:11">
      <c r="A177" s="9">
        <f t="shared" si="2"/>
        <v>172</v>
      </c>
      <c r="B177" s="9" t="s">
        <v>378</v>
      </c>
      <c r="C177" s="9" t="s">
        <v>53</v>
      </c>
      <c r="D177" s="9" t="s">
        <v>497</v>
      </c>
      <c r="E177" s="9" t="s">
        <v>498</v>
      </c>
      <c r="F177" s="9" t="s">
        <v>498</v>
      </c>
      <c r="G177" s="9" t="s">
        <v>499</v>
      </c>
      <c r="H177" s="9" t="s">
        <v>500</v>
      </c>
      <c r="I177" s="9" t="s">
        <v>501</v>
      </c>
      <c r="J177" s="15">
        <v>19000</v>
      </c>
      <c r="K177" s="15">
        <v>3166.67</v>
      </c>
    </row>
    <row r="178" spans="1:11">
      <c r="A178" s="9">
        <f t="shared" si="2"/>
        <v>173</v>
      </c>
      <c r="B178" s="9" t="s">
        <v>378</v>
      </c>
      <c r="C178" s="9" t="s">
        <v>53</v>
      </c>
      <c r="D178" s="9" t="s">
        <v>502</v>
      </c>
      <c r="E178" s="9" t="s">
        <v>503</v>
      </c>
      <c r="F178" s="9" t="s">
        <v>503</v>
      </c>
      <c r="G178" s="9" t="s">
        <v>102</v>
      </c>
      <c r="H178" s="9" t="s">
        <v>103</v>
      </c>
      <c r="I178" s="9" t="s">
        <v>104</v>
      </c>
      <c r="J178" s="15">
        <v>4524</v>
      </c>
      <c r="K178" s="15">
        <v>754</v>
      </c>
    </row>
    <row r="179" spans="1:11">
      <c r="A179" s="9">
        <f t="shared" si="2"/>
        <v>174</v>
      </c>
      <c r="B179" s="9" t="s">
        <v>378</v>
      </c>
      <c r="C179" s="9" t="s">
        <v>53</v>
      </c>
      <c r="D179" s="9" t="s">
        <v>504</v>
      </c>
      <c r="E179" s="9" t="s">
        <v>503</v>
      </c>
      <c r="F179" s="9" t="s">
        <v>503</v>
      </c>
      <c r="G179" s="9" t="s">
        <v>409</v>
      </c>
      <c r="H179" s="9" t="s">
        <v>410</v>
      </c>
      <c r="I179" s="9" t="s">
        <v>411</v>
      </c>
      <c r="J179" s="15">
        <v>582726</v>
      </c>
      <c r="K179" s="15">
        <v>97121</v>
      </c>
    </row>
    <row r="180" spans="1:11" ht="30">
      <c r="A180" s="9">
        <f t="shared" si="2"/>
        <v>175</v>
      </c>
      <c r="B180" s="9" t="s">
        <v>378</v>
      </c>
      <c r="C180" s="9" t="s">
        <v>53</v>
      </c>
      <c r="D180" s="9" t="s">
        <v>505</v>
      </c>
      <c r="E180" s="9" t="s">
        <v>506</v>
      </c>
      <c r="F180" s="9" t="s">
        <v>506</v>
      </c>
      <c r="G180" s="9" t="s">
        <v>507</v>
      </c>
      <c r="H180" s="9" t="s">
        <v>36</v>
      </c>
      <c r="I180" s="9" t="s">
        <v>508</v>
      </c>
      <c r="J180" s="15">
        <v>32000</v>
      </c>
      <c r="K180" s="15">
        <v>5333.33</v>
      </c>
    </row>
    <row r="181" spans="1:11" ht="30">
      <c r="A181" s="9">
        <f t="shared" si="2"/>
        <v>176</v>
      </c>
      <c r="B181" s="9" t="s">
        <v>378</v>
      </c>
      <c r="C181" s="9" t="s">
        <v>53</v>
      </c>
      <c r="D181" s="9" t="s">
        <v>509</v>
      </c>
      <c r="E181" s="9" t="s">
        <v>330</v>
      </c>
      <c r="F181" s="9" t="s">
        <v>506</v>
      </c>
      <c r="G181" s="9" t="s">
        <v>510</v>
      </c>
      <c r="H181" s="9" t="s">
        <v>511</v>
      </c>
      <c r="I181" s="9" t="s">
        <v>512</v>
      </c>
      <c r="J181" s="15">
        <v>1700</v>
      </c>
      <c r="K181" s="15">
        <v>283.33</v>
      </c>
    </row>
    <row r="182" spans="1:11">
      <c r="A182" s="9">
        <f t="shared" si="2"/>
        <v>177</v>
      </c>
      <c r="B182" s="9" t="s">
        <v>378</v>
      </c>
      <c r="C182" s="9" t="s">
        <v>53</v>
      </c>
      <c r="D182" s="9" t="s">
        <v>513</v>
      </c>
      <c r="E182" s="9" t="s">
        <v>514</v>
      </c>
      <c r="F182" s="9" t="s">
        <v>514</v>
      </c>
      <c r="G182" s="9" t="s">
        <v>515</v>
      </c>
      <c r="H182" s="9" t="s">
        <v>516</v>
      </c>
      <c r="I182" s="9" t="s">
        <v>517</v>
      </c>
      <c r="J182" s="15">
        <v>653840</v>
      </c>
      <c r="K182" s="15">
        <v>108973.33</v>
      </c>
    </row>
    <row r="183" spans="1:11">
      <c r="A183" s="9">
        <f t="shared" si="2"/>
        <v>178</v>
      </c>
      <c r="B183" s="9" t="s">
        <v>378</v>
      </c>
      <c r="C183" s="9" t="s">
        <v>53</v>
      </c>
      <c r="D183" s="9" t="s">
        <v>518</v>
      </c>
      <c r="E183" s="9" t="s">
        <v>514</v>
      </c>
      <c r="F183" s="9" t="s">
        <v>514</v>
      </c>
      <c r="G183" s="9" t="s">
        <v>519</v>
      </c>
      <c r="H183" s="9" t="s">
        <v>520</v>
      </c>
      <c r="I183" s="9" t="s">
        <v>521</v>
      </c>
      <c r="J183" s="15">
        <v>25000</v>
      </c>
      <c r="K183" s="15">
        <v>4166.67</v>
      </c>
    </row>
    <row r="184" spans="1:11">
      <c r="A184" s="9">
        <f t="shared" si="2"/>
        <v>179</v>
      </c>
      <c r="B184" s="9" t="s">
        <v>378</v>
      </c>
      <c r="C184" s="9" t="s">
        <v>53</v>
      </c>
      <c r="D184" s="9" t="s">
        <v>122</v>
      </c>
      <c r="E184" s="9" t="s">
        <v>514</v>
      </c>
      <c r="F184" s="9" t="s">
        <v>514</v>
      </c>
      <c r="G184" s="9" t="s">
        <v>356</v>
      </c>
      <c r="H184" s="9" t="s">
        <v>357</v>
      </c>
      <c r="I184" s="9" t="s">
        <v>358</v>
      </c>
      <c r="J184" s="15">
        <v>540930</v>
      </c>
      <c r="K184" s="15">
        <v>90155</v>
      </c>
    </row>
    <row r="185" spans="1:11">
      <c r="A185" s="9">
        <f t="shared" si="2"/>
        <v>180</v>
      </c>
      <c r="B185" s="9" t="s">
        <v>378</v>
      </c>
      <c r="C185" s="9" t="s">
        <v>53</v>
      </c>
      <c r="D185" s="9" t="s">
        <v>522</v>
      </c>
      <c r="E185" s="9" t="s">
        <v>523</v>
      </c>
      <c r="F185" s="9" t="s">
        <v>523</v>
      </c>
      <c r="G185" s="9" t="s">
        <v>524</v>
      </c>
      <c r="H185" s="9" t="s">
        <v>525</v>
      </c>
      <c r="I185" s="9" t="s">
        <v>526</v>
      </c>
      <c r="J185" s="15">
        <v>60000</v>
      </c>
      <c r="K185" s="15">
        <v>10000</v>
      </c>
    </row>
    <row r="186" spans="1:11">
      <c r="A186" s="9">
        <f t="shared" si="2"/>
        <v>181</v>
      </c>
      <c r="B186" s="9" t="s">
        <v>378</v>
      </c>
      <c r="C186" s="9" t="s">
        <v>53</v>
      </c>
      <c r="D186" s="9" t="s">
        <v>527</v>
      </c>
      <c r="E186" s="9" t="s">
        <v>523</v>
      </c>
      <c r="F186" s="9" t="s">
        <v>523</v>
      </c>
      <c r="G186" s="9" t="s">
        <v>299</v>
      </c>
      <c r="H186" s="9" t="s">
        <v>300</v>
      </c>
      <c r="I186" s="9" t="s">
        <v>301</v>
      </c>
      <c r="J186" s="15">
        <v>240893</v>
      </c>
      <c r="K186" s="15">
        <v>40148.83</v>
      </c>
    </row>
    <row r="187" spans="1:11" ht="30">
      <c r="A187" s="9">
        <f t="shared" si="2"/>
        <v>182</v>
      </c>
      <c r="B187" s="9" t="s">
        <v>378</v>
      </c>
      <c r="C187" s="9" t="s">
        <v>53</v>
      </c>
      <c r="D187" s="9" t="s">
        <v>528</v>
      </c>
      <c r="E187" s="9" t="s">
        <v>523</v>
      </c>
      <c r="F187" s="9" t="s">
        <v>523</v>
      </c>
      <c r="G187" s="9" t="s">
        <v>529</v>
      </c>
      <c r="H187" s="9" t="s">
        <v>36</v>
      </c>
      <c r="I187" s="9" t="s">
        <v>530</v>
      </c>
      <c r="J187" s="15">
        <v>715024</v>
      </c>
      <c r="K187" s="15">
        <v>119170.67</v>
      </c>
    </row>
    <row r="188" spans="1:11">
      <c r="A188" s="9">
        <f t="shared" si="2"/>
        <v>183</v>
      </c>
      <c r="B188" s="9" t="s">
        <v>378</v>
      </c>
      <c r="C188" s="9" t="s">
        <v>53</v>
      </c>
      <c r="D188" s="9" t="s">
        <v>531</v>
      </c>
      <c r="E188" s="9" t="s">
        <v>532</v>
      </c>
      <c r="F188" s="9" t="s">
        <v>532</v>
      </c>
      <c r="G188" s="9" t="s">
        <v>326</v>
      </c>
      <c r="H188" s="9" t="s">
        <v>327</v>
      </c>
      <c r="I188" s="9" t="s">
        <v>328</v>
      </c>
      <c r="J188" s="15">
        <v>566238</v>
      </c>
      <c r="K188" s="15">
        <v>94373</v>
      </c>
    </row>
    <row r="189" spans="1:11">
      <c r="A189" s="9">
        <f t="shared" si="2"/>
        <v>184</v>
      </c>
      <c r="B189" s="9" t="s">
        <v>533</v>
      </c>
      <c r="C189" s="9" t="s">
        <v>53</v>
      </c>
      <c r="D189" s="9" t="s">
        <v>534</v>
      </c>
      <c r="E189" s="9" t="s">
        <v>535</v>
      </c>
      <c r="F189" s="9" t="s">
        <v>535</v>
      </c>
      <c r="G189" s="9" t="s">
        <v>158</v>
      </c>
      <c r="H189" s="9" t="s">
        <v>159</v>
      </c>
      <c r="I189" s="9" t="s">
        <v>160</v>
      </c>
      <c r="J189" s="15">
        <v>326040</v>
      </c>
      <c r="K189" s="15">
        <v>54340</v>
      </c>
    </row>
    <row r="190" spans="1:11">
      <c r="A190" s="9">
        <f t="shared" si="2"/>
        <v>185</v>
      </c>
      <c r="B190" s="9" t="s">
        <v>533</v>
      </c>
      <c r="C190" s="9" t="s">
        <v>53</v>
      </c>
      <c r="D190" s="9" t="s">
        <v>536</v>
      </c>
      <c r="E190" s="9" t="s">
        <v>535</v>
      </c>
      <c r="F190" s="9" t="s">
        <v>535</v>
      </c>
      <c r="G190" s="9" t="s">
        <v>479</v>
      </c>
      <c r="H190" s="9" t="s">
        <v>327</v>
      </c>
      <c r="I190" s="9" t="s">
        <v>480</v>
      </c>
      <c r="J190" s="15">
        <v>51500</v>
      </c>
      <c r="K190" s="15">
        <v>8583.34</v>
      </c>
    </row>
    <row r="191" spans="1:11">
      <c r="A191" s="9">
        <f t="shared" si="2"/>
        <v>186</v>
      </c>
      <c r="B191" s="9" t="s">
        <v>533</v>
      </c>
      <c r="C191" s="9" t="s">
        <v>53</v>
      </c>
      <c r="D191" s="9" t="s">
        <v>537</v>
      </c>
      <c r="E191" s="9" t="s">
        <v>538</v>
      </c>
      <c r="F191" s="9" t="s">
        <v>538</v>
      </c>
      <c r="G191" s="9" t="s">
        <v>539</v>
      </c>
      <c r="H191" s="9" t="s">
        <v>540</v>
      </c>
      <c r="I191" s="9" t="s">
        <v>541</v>
      </c>
      <c r="J191" s="15">
        <v>104652</v>
      </c>
      <c r="K191" s="15">
        <v>17442</v>
      </c>
    </row>
    <row r="192" spans="1:11">
      <c r="A192" s="9">
        <f t="shared" si="2"/>
        <v>187</v>
      </c>
      <c r="B192" s="9" t="s">
        <v>533</v>
      </c>
      <c r="C192" s="9" t="s">
        <v>53</v>
      </c>
      <c r="D192" s="9" t="s">
        <v>542</v>
      </c>
      <c r="E192" s="9" t="s">
        <v>543</v>
      </c>
      <c r="F192" s="9" t="s">
        <v>543</v>
      </c>
      <c r="G192" s="9" t="s">
        <v>544</v>
      </c>
      <c r="H192" s="9" t="s">
        <v>545</v>
      </c>
      <c r="I192" s="9" t="s">
        <v>546</v>
      </c>
      <c r="J192" s="15">
        <v>1948</v>
      </c>
      <c r="K192" s="15">
        <v>324.67</v>
      </c>
    </row>
    <row r="193" spans="1:11">
      <c r="A193" s="9">
        <f t="shared" si="2"/>
        <v>188</v>
      </c>
      <c r="B193" s="9" t="s">
        <v>533</v>
      </c>
      <c r="C193" s="9" t="s">
        <v>53</v>
      </c>
      <c r="D193" s="9" t="s">
        <v>547</v>
      </c>
      <c r="E193" s="9" t="s">
        <v>548</v>
      </c>
      <c r="F193" s="9" t="s">
        <v>548</v>
      </c>
      <c r="G193" s="9" t="s">
        <v>549</v>
      </c>
      <c r="H193" s="9" t="s">
        <v>550</v>
      </c>
      <c r="I193" s="9" t="s">
        <v>551</v>
      </c>
      <c r="J193" s="15">
        <v>415520</v>
      </c>
      <c r="K193" s="15">
        <v>69253.33</v>
      </c>
    </row>
    <row r="194" spans="1:11">
      <c r="A194" s="9">
        <f t="shared" si="2"/>
        <v>189</v>
      </c>
      <c r="B194" s="9" t="s">
        <v>533</v>
      </c>
      <c r="C194" s="9" t="s">
        <v>53</v>
      </c>
      <c r="D194" s="9" t="s">
        <v>552</v>
      </c>
      <c r="E194" s="9" t="s">
        <v>553</v>
      </c>
      <c r="F194" s="9" t="s">
        <v>553</v>
      </c>
      <c r="G194" s="9" t="s">
        <v>318</v>
      </c>
      <c r="H194" s="9" t="s">
        <v>319</v>
      </c>
      <c r="I194" s="9" t="s">
        <v>320</v>
      </c>
      <c r="J194" s="15">
        <v>629</v>
      </c>
      <c r="K194" s="15">
        <v>91.67</v>
      </c>
    </row>
    <row r="195" spans="1:11">
      <c r="A195" s="9">
        <f t="shared" si="2"/>
        <v>190</v>
      </c>
      <c r="B195" s="9" t="s">
        <v>533</v>
      </c>
      <c r="C195" s="9" t="s">
        <v>53</v>
      </c>
      <c r="D195" s="9" t="s">
        <v>554</v>
      </c>
      <c r="E195" s="9" t="s">
        <v>553</v>
      </c>
      <c r="F195" s="9" t="s">
        <v>553</v>
      </c>
      <c r="G195" s="9" t="s">
        <v>555</v>
      </c>
      <c r="H195" s="9" t="s">
        <v>274</v>
      </c>
      <c r="I195" s="9" t="s">
        <v>556</v>
      </c>
      <c r="J195" s="15">
        <v>60000</v>
      </c>
      <c r="K195" s="15">
        <v>10000</v>
      </c>
    </row>
    <row r="196" spans="1:11">
      <c r="A196" s="9">
        <f t="shared" si="2"/>
        <v>191</v>
      </c>
      <c r="B196" s="9" t="s">
        <v>533</v>
      </c>
      <c r="C196" s="9" t="s">
        <v>53</v>
      </c>
      <c r="D196" s="9" t="s">
        <v>557</v>
      </c>
      <c r="E196" s="9" t="s">
        <v>553</v>
      </c>
      <c r="F196" s="9" t="s">
        <v>553</v>
      </c>
      <c r="G196" s="9" t="s">
        <v>558</v>
      </c>
      <c r="H196" s="9" t="s">
        <v>559</v>
      </c>
      <c r="I196" s="9" t="s">
        <v>560</v>
      </c>
      <c r="J196" s="15">
        <v>2660</v>
      </c>
      <c r="K196" s="15">
        <v>443.33</v>
      </c>
    </row>
    <row r="197" spans="1:11">
      <c r="A197" s="9">
        <f t="shared" si="2"/>
        <v>192</v>
      </c>
      <c r="B197" s="9" t="s">
        <v>533</v>
      </c>
      <c r="C197" s="9" t="s">
        <v>53</v>
      </c>
      <c r="D197" s="9" t="s">
        <v>561</v>
      </c>
      <c r="E197" s="9" t="s">
        <v>553</v>
      </c>
      <c r="F197" s="9" t="s">
        <v>553</v>
      </c>
      <c r="G197" s="9" t="s">
        <v>562</v>
      </c>
      <c r="H197" s="9" t="s">
        <v>563</v>
      </c>
      <c r="I197" s="9" t="s">
        <v>564</v>
      </c>
      <c r="J197" s="15">
        <v>33000</v>
      </c>
      <c r="K197" s="15">
        <v>5500</v>
      </c>
    </row>
    <row r="198" spans="1:11">
      <c r="A198" s="9">
        <f t="shared" si="2"/>
        <v>193</v>
      </c>
      <c r="B198" s="9" t="s">
        <v>533</v>
      </c>
      <c r="C198" s="9" t="s">
        <v>53</v>
      </c>
      <c r="D198" s="9" t="s">
        <v>565</v>
      </c>
      <c r="E198" s="9" t="s">
        <v>566</v>
      </c>
      <c r="F198" s="9" t="s">
        <v>566</v>
      </c>
      <c r="G198" s="9" t="s">
        <v>326</v>
      </c>
      <c r="H198" s="9" t="s">
        <v>327</v>
      </c>
      <c r="I198" s="9" t="s">
        <v>328</v>
      </c>
      <c r="J198" s="15">
        <v>595376</v>
      </c>
      <c r="K198" s="15">
        <v>99229.33</v>
      </c>
    </row>
    <row r="199" spans="1:11">
      <c r="A199" s="9">
        <f t="shared" ref="A199:A262" si="3">A198+1</f>
        <v>194</v>
      </c>
      <c r="B199" s="9" t="s">
        <v>533</v>
      </c>
      <c r="C199" s="9" t="s">
        <v>53</v>
      </c>
      <c r="D199" s="9" t="s">
        <v>567</v>
      </c>
      <c r="E199" s="9" t="s">
        <v>568</v>
      </c>
      <c r="F199" s="9" t="s">
        <v>568</v>
      </c>
      <c r="G199" s="9" t="s">
        <v>479</v>
      </c>
      <c r="H199" s="9" t="s">
        <v>327</v>
      </c>
      <c r="I199" s="9" t="s">
        <v>480</v>
      </c>
      <c r="J199" s="15">
        <v>26500</v>
      </c>
      <c r="K199" s="15">
        <v>4416.67</v>
      </c>
    </row>
    <row r="200" spans="1:11">
      <c r="A200" s="9">
        <f t="shared" si="3"/>
        <v>195</v>
      </c>
      <c r="B200" s="9" t="s">
        <v>533</v>
      </c>
      <c r="C200" s="9" t="s">
        <v>53</v>
      </c>
      <c r="D200" s="9" t="s">
        <v>569</v>
      </c>
      <c r="E200" s="9" t="s">
        <v>570</v>
      </c>
      <c r="F200" s="9" t="s">
        <v>570</v>
      </c>
      <c r="G200" s="9" t="s">
        <v>158</v>
      </c>
      <c r="H200" s="9" t="s">
        <v>159</v>
      </c>
      <c r="I200" s="9" t="s">
        <v>160</v>
      </c>
      <c r="J200" s="15">
        <v>183600</v>
      </c>
      <c r="K200" s="15">
        <v>30600</v>
      </c>
    </row>
    <row r="201" spans="1:11">
      <c r="A201" s="9">
        <f t="shared" si="3"/>
        <v>196</v>
      </c>
      <c r="B201" s="9" t="s">
        <v>533</v>
      </c>
      <c r="C201" s="9" t="s">
        <v>53</v>
      </c>
      <c r="D201" s="9" t="s">
        <v>571</v>
      </c>
      <c r="E201" s="9" t="s">
        <v>570</v>
      </c>
      <c r="F201" s="9" t="s">
        <v>570</v>
      </c>
      <c r="G201" s="9" t="s">
        <v>479</v>
      </c>
      <c r="H201" s="9" t="s">
        <v>327</v>
      </c>
      <c r="I201" s="9" t="s">
        <v>480</v>
      </c>
      <c r="J201" s="15">
        <v>26500</v>
      </c>
      <c r="K201" s="15">
        <v>4416.67</v>
      </c>
    </row>
    <row r="202" spans="1:11">
      <c r="A202" s="9">
        <f t="shared" si="3"/>
        <v>197</v>
      </c>
      <c r="B202" s="9" t="s">
        <v>533</v>
      </c>
      <c r="C202" s="9" t="s">
        <v>53</v>
      </c>
      <c r="D202" s="9" t="s">
        <v>572</v>
      </c>
      <c r="E202" s="9" t="s">
        <v>573</v>
      </c>
      <c r="F202" s="9" t="s">
        <v>573</v>
      </c>
      <c r="G202" s="9" t="s">
        <v>326</v>
      </c>
      <c r="H202" s="9" t="s">
        <v>327</v>
      </c>
      <c r="I202" s="9" t="s">
        <v>328</v>
      </c>
      <c r="J202" s="15">
        <v>599816</v>
      </c>
      <c r="K202" s="15">
        <v>99969.33</v>
      </c>
    </row>
    <row r="203" spans="1:11">
      <c r="A203" s="9">
        <f t="shared" si="3"/>
        <v>198</v>
      </c>
      <c r="B203" s="9" t="s">
        <v>533</v>
      </c>
      <c r="C203" s="9" t="s">
        <v>53</v>
      </c>
      <c r="D203" s="9" t="s">
        <v>574</v>
      </c>
      <c r="E203" s="9" t="s">
        <v>575</v>
      </c>
      <c r="F203" s="9" t="s">
        <v>575</v>
      </c>
      <c r="G203" s="9" t="s">
        <v>102</v>
      </c>
      <c r="H203" s="9" t="s">
        <v>103</v>
      </c>
      <c r="I203" s="9" t="s">
        <v>104</v>
      </c>
      <c r="J203" s="15">
        <v>919</v>
      </c>
      <c r="K203" s="15">
        <v>153.16999999999999</v>
      </c>
    </row>
    <row r="204" spans="1:11">
      <c r="A204" s="9">
        <f t="shared" si="3"/>
        <v>199</v>
      </c>
      <c r="B204" s="9" t="s">
        <v>533</v>
      </c>
      <c r="C204" s="9" t="s">
        <v>53</v>
      </c>
      <c r="D204" s="9" t="s">
        <v>576</v>
      </c>
      <c r="E204" s="9" t="s">
        <v>575</v>
      </c>
      <c r="F204" s="9" t="s">
        <v>575</v>
      </c>
      <c r="G204" s="9" t="s">
        <v>102</v>
      </c>
      <c r="H204" s="9" t="s">
        <v>103</v>
      </c>
      <c r="I204" s="9" t="s">
        <v>104</v>
      </c>
      <c r="J204" s="15">
        <v>4524</v>
      </c>
      <c r="K204" s="15">
        <v>754</v>
      </c>
    </row>
    <row r="205" spans="1:11">
      <c r="A205" s="9">
        <f t="shared" si="3"/>
        <v>200</v>
      </c>
      <c r="B205" s="9" t="s">
        <v>533</v>
      </c>
      <c r="C205" s="9" t="s">
        <v>53</v>
      </c>
      <c r="D205" s="9" t="s">
        <v>577</v>
      </c>
      <c r="E205" s="9" t="s">
        <v>575</v>
      </c>
      <c r="F205" s="9" t="s">
        <v>575</v>
      </c>
      <c r="G205" s="9" t="s">
        <v>304</v>
      </c>
      <c r="H205" s="9" t="s">
        <v>294</v>
      </c>
      <c r="I205" s="9" t="s">
        <v>305</v>
      </c>
      <c r="J205" s="15">
        <v>4900</v>
      </c>
      <c r="K205" s="15">
        <v>816.66</v>
      </c>
    </row>
    <row r="206" spans="1:11">
      <c r="A206" s="9">
        <f t="shared" si="3"/>
        <v>201</v>
      </c>
      <c r="B206" s="9" t="s">
        <v>533</v>
      </c>
      <c r="C206" s="9" t="s">
        <v>53</v>
      </c>
      <c r="D206" s="9" t="s">
        <v>578</v>
      </c>
      <c r="E206" s="9" t="s">
        <v>579</v>
      </c>
      <c r="F206" s="9" t="s">
        <v>579</v>
      </c>
      <c r="G206" s="9" t="s">
        <v>158</v>
      </c>
      <c r="H206" s="9" t="s">
        <v>159</v>
      </c>
      <c r="I206" s="9" t="s">
        <v>160</v>
      </c>
      <c r="J206" s="15">
        <v>35000</v>
      </c>
      <c r="K206" s="15">
        <v>5833.33</v>
      </c>
    </row>
    <row r="207" spans="1:11">
      <c r="A207" s="9">
        <f t="shared" si="3"/>
        <v>202</v>
      </c>
      <c r="B207" s="9" t="s">
        <v>533</v>
      </c>
      <c r="C207" s="9" t="s">
        <v>53</v>
      </c>
      <c r="D207" s="9" t="s">
        <v>580</v>
      </c>
      <c r="E207" s="9" t="s">
        <v>579</v>
      </c>
      <c r="F207" s="9" t="s">
        <v>579</v>
      </c>
      <c r="G207" s="9" t="s">
        <v>56</v>
      </c>
      <c r="H207" s="9" t="s">
        <v>57</v>
      </c>
      <c r="I207" s="9" t="s">
        <v>58</v>
      </c>
      <c r="J207" s="15">
        <v>150000</v>
      </c>
      <c r="K207" s="15">
        <v>25000</v>
      </c>
    </row>
    <row r="208" spans="1:11">
      <c r="A208" s="9">
        <f t="shared" si="3"/>
        <v>203</v>
      </c>
      <c r="B208" s="9" t="s">
        <v>533</v>
      </c>
      <c r="C208" s="9" t="s">
        <v>53</v>
      </c>
      <c r="D208" s="9" t="s">
        <v>581</v>
      </c>
      <c r="E208" s="9" t="s">
        <v>543</v>
      </c>
      <c r="F208" s="9" t="s">
        <v>579</v>
      </c>
      <c r="G208" s="9" t="s">
        <v>158</v>
      </c>
      <c r="H208" s="9" t="s">
        <v>159</v>
      </c>
      <c r="I208" s="9" t="s">
        <v>160</v>
      </c>
      <c r="J208" s="15">
        <v>70000</v>
      </c>
      <c r="K208" s="15">
        <v>11666.66</v>
      </c>
    </row>
    <row r="209" spans="1:11">
      <c r="A209" s="9">
        <f t="shared" si="3"/>
        <v>204</v>
      </c>
      <c r="B209" s="9" t="s">
        <v>533</v>
      </c>
      <c r="C209" s="9" t="s">
        <v>53</v>
      </c>
      <c r="D209" s="9" t="s">
        <v>246</v>
      </c>
      <c r="E209" s="9" t="s">
        <v>582</v>
      </c>
      <c r="F209" s="9" t="s">
        <v>582</v>
      </c>
      <c r="G209" s="9" t="s">
        <v>162</v>
      </c>
      <c r="H209" s="9" t="s">
        <v>163</v>
      </c>
      <c r="I209" s="9" t="s">
        <v>164</v>
      </c>
      <c r="J209" s="15">
        <v>15750</v>
      </c>
      <c r="K209" s="15">
        <v>2625</v>
      </c>
    </row>
    <row r="210" spans="1:11">
      <c r="A210" s="9">
        <f t="shared" si="3"/>
        <v>205</v>
      </c>
      <c r="B210" s="9" t="s">
        <v>533</v>
      </c>
      <c r="C210" s="9" t="s">
        <v>53</v>
      </c>
      <c r="D210" s="9" t="s">
        <v>583</v>
      </c>
      <c r="E210" s="9" t="s">
        <v>584</v>
      </c>
      <c r="F210" s="9" t="s">
        <v>584</v>
      </c>
      <c r="G210" s="9" t="s">
        <v>318</v>
      </c>
      <c r="H210" s="9" t="s">
        <v>319</v>
      </c>
      <c r="I210" s="9" t="s">
        <v>320</v>
      </c>
      <c r="J210" s="15">
        <v>810</v>
      </c>
      <c r="K210" s="15">
        <v>118.5</v>
      </c>
    </row>
    <row r="211" spans="1:11">
      <c r="A211" s="9">
        <f t="shared" si="3"/>
        <v>206</v>
      </c>
      <c r="B211" s="9" t="s">
        <v>533</v>
      </c>
      <c r="C211" s="9" t="s">
        <v>53</v>
      </c>
      <c r="D211" s="9" t="s">
        <v>585</v>
      </c>
      <c r="E211" s="9" t="s">
        <v>584</v>
      </c>
      <c r="F211" s="9" t="s">
        <v>584</v>
      </c>
      <c r="G211" s="9" t="s">
        <v>318</v>
      </c>
      <c r="H211" s="9" t="s">
        <v>319</v>
      </c>
      <c r="I211" s="9" t="s">
        <v>320</v>
      </c>
      <c r="J211" s="15">
        <v>567</v>
      </c>
      <c r="K211" s="15">
        <v>85.5</v>
      </c>
    </row>
    <row r="212" spans="1:11" ht="30">
      <c r="A212" s="9">
        <f t="shared" si="3"/>
        <v>207</v>
      </c>
      <c r="B212" s="9" t="s">
        <v>533</v>
      </c>
      <c r="C212" s="9" t="s">
        <v>53</v>
      </c>
      <c r="D212" s="9" t="s">
        <v>586</v>
      </c>
      <c r="E212" s="9" t="s">
        <v>584</v>
      </c>
      <c r="F212" s="9" t="s">
        <v>584</v>
      </c>
      <c r="G212" s="9" t="s">
        <v>510</v>
      </c>
      <c r="H212" s="9" t="s">
        <v>511</v>
      </c>
      <c r="I212" s="9" t="s">
        <v>512</v>
      </c>
      <c r="J212" s="15">
        <v>3400</v>
      </c>
      <c r="K212" s="15">
        <v>566.66999999999996</v>
      </c>
    </row>
    <row r="213" spans="1:11">
      <c r="A213" s="9">
        <f t="shared" si="3"/>
        <v>208</v>
      </c>
      <c r="B213" s="9" t="s">
        <v>533</v>
      </c>
      <c r="C213" s="9" t="s">
        <v>53</v>
      </c>
      <c r="D213" s="9" t="s">
        <v>587</v>
      </c>
      <c r="E213" s="9" t="s">
        <v>588</v>
      </c>
      <c r="F213" s="9" t="s">
        <v>588</v>
      </c>
      <c r="G213" s="9" t="s">
        <v>589</v>
      </c>
      <c r="H213" s="9" t="s">
        <v>590</v>
      </c>
      <c r="I213" s="9" t="s">
        <v>591</v>
      </c>
      <c r="J213" s="15">
        <v>2070</v>
      </c>
      <c r="K213" s="15">
        <v>345</v>
      </c>
    </row>
    <row r="214" spans="1:11">
      <c r="A214" s="9">
        <f t="shared" si="3"/>
        <v>209</v>
      </c>
      <c r="B214" s="9" t="s">
        <v>533</v>
      </c>
      <c r="C214" s="9" t="s">
        <v>53</v>
      </c>
      <c r="D214" s="9" t="s">
        <v>592</v>
      </c>
      <c r="E214" s="9" t="s">
        <v>588</v>
      </c>
      <c r="F214" s="9" t="s">
        <v>588</v>
      </c>
      <c r="G214" s="9" t="s">
        <v>589</v>
      </c>
      <c r="H214" s="9" t="s">
        <v>590</v>
      </c>
      <c r="I214" s="9" t="s">
        <v>591</v>
      </c>
      <c r="J214" s="15">
        <v>12708</v>
      </c>
      <c r="K214" s="15">
        <v>2118</v>
      </c>
    </row>
    <row r="215" spans="1:11">
      <c r="A215" s="9">
        <f t="shared" si="3"/>
        <v>210</v>
      </c>
      <c r="B215" s="9" t="s">
        <v>533</v>
      </c>
      <c r="C215" s="9" t="s">
        <v>53</v>
      </c>
      <c r="D215" s="9" t="s">
        <v>593</v>
      </c>
      <c r="E215" s="9" t="s">
        <v>594</v>
      </c>
      <c r="F215" s="9" t="s">
        <v>594</v>
      </c>
      <c r="G215" s="9" t="s">
        <v>318</v>
      </c>
      <c r="H215" s="9" t="s">
        <v>319</v>
      </c>
      <c r="I215" s="9" t="s">
        <v>320</v>
      </c>
      <c r="J215" s="15">
        <v>1264</v>
      </c>
      <c r="K215" s="15">
        <v>194.17</v>
      </c>
    </row>
    <row r="216" spans="1:11">
      <c r="A216" s="9">
        <f t="shared" si="3"/>
        <v>211</v>
      </c>
      <c r="B216" s="9" t="s">
        <v>533</v>
      </c>
      <c r="C216" s="9" t="s">
        <v>53</v>
      </c>
      <c r="D216" s="9" t="s">
        <v>595</v>
      </c>
      <c r="E216" s="9" t="s">
        <v>594</v>
      </c>
      <c r="F216" s="9" t="s">
        <v>594</v>
      </c>
      <c r="G216" s="9" t="s">
        <v>318</v>
      </c>
      <c r="H216" s="9" t="s">
        <v>319</v>
      </c>
      <c r="I216" s="9" t="s">
        <v>320</v>
      </c>
      <c r="J216" s="15">
        <v>719</v>
      </c>
      <c r="K216" s="15">
        <v>106.17</v>
      </c>
    </row>
    <row r="217" spans="1:11">
      <c r="A217" s="9">
        <f t="shared" si="3"/>
        <v>212</v>
      </c>
      <c r="B217" s="9" t="s">
        <v>533</v>
      </c>
      <c r="C217" s="9" t="s">
        <v>53</v>
      </c>
      <c r="D217" s="9" t="s">
        <v>596</v>
      </c>
      <c r="E217" s="9" t="s">
        <v>594</v>
      </c>
      <c r="F217" s="9" t="s">
        <v>594</v>
      </c>
      <c r="G217" s="9" t="s">
        <v>304</v>
      </c>
      <c r="H217" s="9" t="s">
        <v>294</v>
      </c>
      <c r="I217" s="9" t="s">
        <v>305</v>
      </c>
      <c r="J217" s="15">
        <v>9600</v>
      </c>
      <c r="K217" s="15">
        <v>1600</v>
      </c>
    </row>
    <row r="218" spans="1:11">
      <c r="A218" s="9">
        <f t="shared" si="3"/>
        <v>213</v>
      </c>
      <c r="B218" s="9" t="s">
        <v>533</v>
      </c>
      <c r="C218" s="9" t="s">
        <v>53</v>
      </c>
      <c r="D218" s="9" t="s">
        <v>597</v>
      </c>
      <c r="E218" s="9" t="s">
        <v>594</v>
      </c>
      <c r="F218" s="9" t="s">
        <v>594</v>
      </c>
      <c r="G218" s="9" t="s">
        <v>558</v>
      </c>
      <c r="H218" s="9" t="s">
        <v>559</v>
      </c>
      <c r="I218" s="9" t="s">
        <v>560</v>
      </c>
      <c r="J218" s="15">
        <v>2660</v>
      </c>
      <c r="K218" s="15">
        <v>443.33</v>
      </c>
    </row>
    <row r="219" spans="1:11">
      <c r="A219" s="9">
        <f t="shared" si="3"/>
        <v>214</v>
      </c>
      <c r="B219" s="9" t="s">
        <v>533</v>
      </c>
      <c r="C219" s="9" t="s">
        <v>53</v>
      </c>
      <c r="D219" s="9" t="s">
        <v>598</v>
      </c>
      <c r="E219" s="9" t="s">
        <v>599</v>
      </c>
      <c r="F219" s="9" t="s">
        <v>599</v>
      </c>
      <c r="G219" s="9" t="s">
        <v>299</v>
      </c>
      <c r="H219" s="9" t="s">
        <v>300</v>
      </c>
      <c r="I219" s="9" t="s">
        <v>301</v>
      </c>
      <c r="J219" s="15">
        <v>416220</v>
      </c>
      <c r="K219" s="15">
        <v>69370</v>
      </c>
    </row>
    <row r="220" spans="1:11">
      <c r="A220" s="9">
        <f t="shared" si="3"/>
        <v>215</v>
      </c>
      <c r="B220" s="9" t="s">
        <v>533</v>
      </c>
      <c r="C220" s="9" t="s">
        <v>53</v>
      </c>
      <c r="D220" s="9" t="s">
        <v>600</v>
      </c>
      <c r="E220" s="9" t="s">
        <v>599</v>
      </c>
      <c r="F220" s="9" t="s">
        <v>599</v>
      </c>
      <c r="G220" s="9" t="s">
        <v>601</v>
      </c>
      <c r="H220" s="9" t="s">
        <v>195</v>
      </c>
      <c r="I220" s="9" t="s">
        <v>602</v>
      </c>
      <c r="J220" s="15">
        <v>16400</v>
      </c>
      <c r="K220" s="15">
        <v>2733.33</v>
      </c>
    </row>
    <row r="221" spans="1:11">
      <c r="A221" s="9">
        <f t="shared" si="3"/>
        <v>216</v>
      </c>
      <c r="B221" s="9" t="s">
        <v>533</v>
      </c>
      <c r="C221" s="9" t="s">
        <v>53</v>
      </c>
      <c r="D221" s="9" t="s">
        <v>603</v>
      </c>
      <c r="E221" s="9" t="s">
        <v>604</v>
      </c>
      <c r="F221" s="9" t="s">
        <v>604</v>
      </c>
      <c r="G221" s="9" t="s">
        <v>179</v>
      </c>
      <c r="H221" s="9" t="s">
        <v>180</v>
      </c>
      <c r="I221" s="9" t="s">
        <v>181</v>
      </c>
      <c r="J221" s="15">
        <v>29000</v>
      </c>
      <c r="K221" s="15">
        <v>4833.33</v>
      </c>
    </row>
    <row r="222" spans="1:11">
      <c r="A222" s="9">
        <f t="shared" si="3"/>
        <v>217</v>
      </c>
      <c r="B222" s="9" t="s">
        <v>533</v>
      </c>
      <c r="C222" s="9" t="s">
        <v>53</v>
      </c>
      <c r="D222" s="9" t="s">
        <v>605</v>
      </c>
      <c r="E222" s="9" t="s">
        <v>606</v>
      </c>
      <c r="F222" s="9" t="s">
        <v>606</v>
      </c>
      <c r="G222" s="9" t="s">
        <v>318</v>
      </c>
      <c r="H222" s="9" t="s">
        <v>319</v>
      </c>
      <c r="I222" s="9" t="s">
        <v>320</v>
      </c>
      <c r="J222" s="15">
        <v>630</v>
      </c>
      <c r="K222" s="15">
        <v>91.33</v>
      </c>
    </row>
    <row r="223" spans="1:11">
      <c r="A223" s="9">
        <f t="shared" si="3"/>
        <v>218</v>
      </c>
      <c r="B223" s="9" t="s">
        <v>533</v>
      </c>
      <c r="C223" s="9" t="s">
        <v>53</v>
      </c>
      <c r="D223" s="9" t="s">
        <v>607</v>
      </c>
      <c r="E223" s="9" t="s">
        <v>606</v>
      </c>
      <c r="F223" s="9" t="s">
        <v>606</v>
      </c>
      <c r="G223" s="9" t="s">
        <v>102</v>
      </c>
      <c r="H223" s="9" t="s">
        <v>103</v>
      </c>
      <c r="I223" s="9" t="s">
        <v>104</v>
      </c>
      <c r="J223" s="15">
        <v>4141</v>
      </c>
      <c r="K223" s="15">
        <v>690.17</v>
      </c>
    </row>
    <row r="224" spans="1:11">
      <c r="A224" s="9">
        <f t="shared" si="3"/>
        <v>219</v>
      </c>
      <c r="B224" s="9" t="s">
        <v>533</v>
      </c>
      <c r="C224" s="9" t="s">
        <v>53</v>
      </c>
      <c r="D224" s="9" t="s">
        <v>608</v>
      </c>
      <c r="E224" s="9" t="s">
        <v>606</v>
      </c>
      <c r="F224" s="9" t="s">
        <v>606</v>
      </c>
      <c r="G224" s="9" t="s">
        <v>609</v>
      </c>
      <c r="H224" s="9" t="s">
        <v>610</v>
      </c>
      <c r="I224" s="9" t="s">
        <v>611</v>
      </c>
      <c r="J224" s="15">
        <v>490540</v>
      </c>
      <c r="K224" s="15">
        <v>81756.67</v>
      </c>
    </row>
    <row r="225" spans="1:11">
      <c r="A225" s="9">
        <f t="shared" si="3"/>
        <v>220</v>
      </c>
      <c r="B225" s="9" t="s">
        <v>533</v>
      </c>
      <c r="C225" s="9" t="s">
        <v>53</v>
      </c>
      <c r="D225" s="9" t="s">
        <v>612</v>
      </c>
      <c r="E225" s="9" t="s">
        <v>613</v>
      </c>
      <c r="F225" s="9" t="s">
        <v>613</v>
      </c>
      <c r="G225" s="9" t="s">
        <v>479</v>
      </c>
      <c r="H225" s="9" t="s">
        <v>327</v>
      </c>
      <c r="I225" s="9" t="s">
        <v>480</v>
      </c>
      <c r="J225" s="15">
        <v>26500</v>
      </c>
      <c r="K225" s="15">
        <v>4416.67</v>
      </c>
    </row>
    <row r="226" spans="1:11">
      <c r="A226" s="9">
        <f t="shared" si="3"/>
        <v>221</v>
      </c>
      <c r="B226" s="9" t="s">
        <v>533</v>
      </c>
      <c r="C226" s="9" t="s">
        <v>53</v>
      </c>
      <c r="D226" s="9" t="s">
        <v>614</v>
      </c>
      <c r="E226" s="9" t="s">
        <v>615</v>
      </c>
      <c r="F226" s="9" t="s">
        <v>615</v>
      </c>
      <c r="G226" s="9" t="s">
        <v>158</v>
      </c>
      <c r="H226" s="9" t="s">
        <v>159</v>
      </c>
      <c r="I226" s="9" t="s">
        <v>160</v>
      </c>
      <c r="J226" s="15">
        <v>35000</v>
      </c>
      <c r="K226" s="15">
        <v>5833.33</v>
      </c>
    </row>
    <row r="227" spans="1:11">
      <c r="A227" s="9">
        <f t="shared" si="3"/>
        <v>222</v>
      </c>
      <c r="B227" s="9" t="s">
        <v>533</v>
      </c>
      <c r="C227" s="9" t="s">
        <v>53</v>
      </c>
      <c r="D227" s="9" t="s">
        <v>616</v>
      </c>
      <c r="E227" s="9" t="s">
        <v>615</v>
      </c>
      <c r="F227" s="9" t="s">
        <v>615</v>
      </c>
      <c r="G227" s="9" t="s">
        <v>318</v>
      </c>
      <c r="H227" s="9" t="s">
        <v>319</v>
      </c>
      <c r="I227" s="9" t="s">
        <v>320</v>
      </c>
      <c r="J227" s="15">
        <v>713</v>
      </c>
      <c r="K227" s="15">
        <v>101.33</v>
      </c>
    </row>
    <row r="228" spans="1:11">
      <c r="A228" s="9">
        <f t="shared" si="3"/>
        <v>223</v>
      </c>
      <c r="B228" s="9" t="s">
        <v>533</v>
      </c>
      <c r="C228" s="9" t="s">
        <v>53</v>
      </c>
      <c r="D228" s="9" t="s">
        <v>617</v>
      </c>
      <c r="E228" s="9" t="s">
        <v>615</v>
      </c>
      <c r="F228" s="9" t="s">
        <v>615</v>
      </c>
      <c r="G228" s="9" t="s">
        <v>609</v>
      </c>
      <c r="H228" s="9" t="s">
        <v>610</v>
      </c>
      <c r="I228" s="9" t="s">
        <v>611</v>
      </c>
      <c r="J228" s="15">
        <v>597840</v>
      </c>
      <c r="K228" s="15">
        <v>99640</v>
      </c>
    </row>
    <row r="229" spans="1:11">
      <c r="A229" s="9">
        <f t="shared" si="3"/>
        <v>224</v>
      </c>
      <c r="B229" s="9" t="s">
        <v>533</v>
      </c>
      <c r="C229" s="9" t="s">
        <v>53</v>
      </c>
      <c r="D229" s="9" t="s">
        <v>618</v>
      </c>
      <c r="E229" s="9" t="s">
        <v>619</v>
      </c>
      <c r="F229" s="9" t="s">
        <v>619</v>
      </c>
      <c r="G229" s="9" t="s">
        <v>425</v>
      </c>
      <c r="H229" s="9" t="s">
        <v>208</v>
      </c>
      <c r="I229" s="9" t="s">
        <v>426</v>
      </c>
      <c r="J229" s="15">
        <v>13100</v>
      </c>
      <c r="K229" s="15">
        <v>2183.33</v>
      </c>
    </row>
    <row r="230" spans="1:11">
      <c r="A230" s="9">
        <f t="shared" si="3"/>
        <v>225</v>
      </c>
      <c r="B230" s="9" t="s">
        <v>533</v>
      </c>
      <c r="C230" s="9" t="s">
        <v>53</v>
      </c>
      <c r="D230" s="9" t="s">
        <v>620</v>
      </c>
      <c r="E230" s="9" t="s">
        <v>621</v>
      </c>
      <c r="F230" s="9" t="s">
        <v>621</v>
      </c>
      <c r="G230" s="9" t="s">
        <v>313</v>
      </c>
      <c r="H230" s="9" t="s">
        <v>314</v>
      </c>
      <c r="I230" s="9" t="s">
        <v>315</v>
      </c>
      <c r="J230" s="15">
        <v>30000</v>
      </c>
      <c r="K230" s="15">
        <v>5000</v>
      </c>
    </row>
    <row r="231" spans="1:11">
      <c r="A231" s="9">
        <f t="shared" si="3"/>
        <v>226</v>
      </c>
      <c r="B231" s="9" t="s">
        <v>533</v>
      </c>
      <c r="C231" s="9" t="s">
        <v>53</v>
      </c>
      <c r="D231" s="9" t="s">
        <v>622</v>
      </c>
      <c r="E231" s="9" t="s">
        <v>623</v>
      </c>
      <c r="F231" s="9" t="s">
        <v>623</v>
      </c>
      <c r="G231" s="9" t="s">
        <v>102</v>
      </c>
      <c r="H231" s="9" t="s">
        <v>103</v>
      </c>
      <c r="I231" s="9" t="s">
        <v>104</v>
      </c>
      <c r="J231" s="15">
        <v>1190</v>
      </c>
      <c r="K231" s="15">
        <v>198.33</v>
      </c>
    </row>
    <row r="232" spans="1:11">
      <c r="A232" s="9">
        <f t="shared" si="3"/>
        <v>227</v>
      </c>
      <c r="B232" s="9" t="s">
        <v>533</v>
      </c>
      <c r="C232" s="9" t="s">
        <v>53</v>
      </c>
      <c r="D232" s="9" t="s">
        <v>624</v>
      </c>
      <c r="E232" s="9" t="s">
        <v>623</v>
      </c>
      <c r="F232" s="9" t="s">
        <v>623</v>
      </c>
      <c r="G232" s="9" t="s">
        <v>318</v>
      </c>
      <c r="H232" s="9" t="s">
        <v>319</v>
      </c>
      <c r="I232" s="9" t="s">
        <v>320</v>
      </c>
      <c r="J232" s="15">
        <v>1017</v>
      </c>
      <c r="K232" s="15">
        <v>150.83000000000001</v>
      </c>
    </row>
    <row r="233" spans="1:11">
      <c r="A233" s="9">
        <f t="shared" si="3"/>
        <v>228</v>
      </c>
      <c r="B233" s="9" t="s">
        <v>533</v>
      </c>
      <c r="C233" s="9" t="s">
        <v>53</v>
      </c>
      <c r="D233" s="9" t="s">
        <v>625</v>
      </c>
      <c r="E233" s="9" t="s">
        <v>626</v>
      </c>
      <c r="F233" s="9" t="s">
        <v>626</v>
      </c>
      <c r="G233" s="9" t="s">
        <v>318</v>
      </c>
      <c r="H233" s="9" t="s">
        <v>319</v>
      </c>
      <c r="I233" s="9" t="s">
        <v>320</v>
      </c>
      <c r="J233" s="15">
        <v>3731</v>
      </c>
      <c r="K233" s="15">
        <v>568.5</v>
      </c>
    </row>
    <row r="234" spans="1:11">
      <c r="A234" s="9">
        <f t="shared" si="3"/>
        <v>229</v>
      </c>
      <c r="B234" s="9" t="s">
        <v>533</v>
      </c>
      <c r="C234" s="9" t="s">
        <v>53</v>
      </c>
      <c r="D234" s="9" t="s">
        <v>627</v>
      </c>
      <c r="E234" s="9" t="s">
        <v>626</v>
      </c>
      <c r="F234" s="9" t="s">
        <v>626</v>
      </c>
      <c r="G234" s="9" t="s">
        <v>318</v>
      </c>
      <c r="H234" s="9" t="s">
        <v>319</v>
      </c>
      <c r="I234" s="9" t="s">
        <v>320</v>
      </c>
      <c r="J234" s="15">
        <v>260</v>
      </c>
      <c r="K234" s="15">
        <v>41.5</v>
      </c>
    </row>
    <row r="235" spans="1:11">
      <c r="A235" s="9">
        <f t="shared" si="3"/>
        <v>230</v>
      </c>
      <c r="B235" s="9" t="s">
        <v>533</v>
      </c>
      <c r="C235" s="9" t="s">
        <v>53</v>
      </c>
      <c r="D235" s="9" t="s">
        <v>628</v>
      </c>
      <c r="E235" s="9" t="s">
        <v>629</v>
      </c>
      <c r="F235" s="9" t="s">
        <v>629</v>
      </c>
      <c r="G235" s="9" t="s">
        <v>609</v>
      </c>
      <c r="H235" s="9" t="s">
        <v>610</v>
      </c>
      <c r="I235" s="9" t="s">
        <v>611</v>
      </c>
      <c r="J235" s="15">
        <v>563160</v>
      </c>
      <c r="K235" s="15">
        <v>93860</v>
      </c>
    </row>
    <row r="236" spans="1:11" ht="30">
      <c r="A236" s="9">
        <f t="shared" si="3"/>
        <v>231</v>
      </c>
      <c r="B236" s="9" t="s">
        <v>533</v>
      </c>
      <c r="C236" s="9" t="s">
        <v>53</v>
      </c>
      <c r="D236" s="9" t="s">
        <v>630</v>
      </c>
      <c r="E236" s="9" t="s">
        <v>629</v>
      </c>
      <c r="F236" s="9" t="s">
        <v>629</v>
      </c>
      <c r="G236" s="9" t="s">
        <v>174</v>
      </c>
      <c r="H236" s="9" t="s">
        <v>175</v>
      </c>
      <c r="I236" s="9" t="s">
        <v>176</v>
      </c>
      <c r="J236" s="15">
        <v>25000</v>
      </c>
      <c r="K236" s="15">
        <v>4166.67</v>
      </c>
    </row>
    <row r="237" spans="1:11">
      <c r="A237" s="9">
        <f t="shared" si="3"/>
        <v>232</v>
      </c>
      <c r="B237" s="9" t="s">
        <v>533</v>
      </c>
      <c r="C237" s="9" t="s">
        <v>53</v>
      </c>
      <c r="D237" s="9" t="s">
        <v>631</v>
      </c>
      <c r="E237" s="9" t="s">
        <v>632</v>
      </c>
      <c r="F237" s="9" t="s">
        <v>632</v>
      </c>
      <c r="G237" s="9" t="s">
        <v>158</v>
      </c>
      <c r="H237" s="9" t="s">
        <v>159</v>
      </c>
      <c r="I237" s="9" t="s">
        <v>160</v>
      </c>
      <c r="J237" s="15">
        <v>236832</v>
      </c>
      <c r="K237" s="15">
        <v>39472</v>
      </c>
    </row>
    <row r="238" spans="1:11">
      <c r="A238" s="9">
        <f t="shared" si="3"/>
        <v>233</v>
      </c>
      <c r="B238" s="9" t="s">
        <v>533</v>
      </c>
      <c r="C238" s="9" t="s">
        <v>53</v>
      </c>
      <c r="D238" s="9" t="s">
        <v>633</v>
      </c>
      <c r="E238" s="9" t="s">
        <v>634</v>
      </c>
      <c r="F238" s="9" t="s">
        <v>634</v>
      </c>
      <c r="G238" s="9" t="s">
        <v>158</v>
      </c>
      <c r="H238" s="9" t="s">
        <v>159</v>
      </c>
      <c r="I238" s="9" t="s">
        <v>160</v>
      </c>
      <c r="J238" s="15">
        <v>35000</v>
      </c>
      <c r="K238" s="15">
        <v>5833.33</v>
      </c>
    </row>
    <row r="239" spans="1:11">
      <c r="A239" s="9">
        <f t="shared" si="3"/>
        <v>234</v>
      </c>
      <c r="B239" s="9" t="s">
        <v>533</v>
      </c>
      <c r="C239" s="9" t="s">
        <v>53</v>
      </c>
      <c r="D239" s="9" t="s">
        <v>635</v>
      </c>
      <c r="E239" s="9" t="s">
        <v>482</v>
      </c>
      <c r="F239" s="9" t="s">
        <v>636</v>
      </c>
      <c r="G239" s="9" t="s">
        <v>158</v>
      </c>
      <c r="H239" s="9" t="s">
        <v>159</v>
      </c>
      <c r="I239" s="9" t="s">
        <v>160</v>
      </c>
      <c r="J239" s="15">
        <v>198240</v>
      </c>
      <c r="K239" s="15">
        <v>33040</v>
      </c>
    </row>
    <row r="240" spans="1:11">
      <c r="A240" s="9">
        <f t="shared" si="3"/>
        <v>235</v>
      </c>
      <c r="B240" s="9" t="s">
        <v>533</v>
      </c>
      <c r="C240" s="9" t="s">
        <v>53</v>
      </c>
      <c r="D240" s="9" t="s">
        <v>637</v>
      </c>
      <c r="E240" s="9" t="s">
        <v>636</v>
      </c>
      <c r="F240" s="9" t="s">
        <v>636</v>
      </c>
      <c r="G240" s="9" t="s">
        <v>638</v>
      </c>
      <c r="H240" s="9" t="s">
        <v>639</v>
      </c>
      <c r="I240" s="9" t="s">
        <v>640</v>
      </c>
      <c r="J240" s="15">
        <v>7500</v>
      </c>
      <c r="K240" s="15">
        <v>1250</v>
      </c>
    </row>
    <row r="241" spans="1:11">
      <c r="A241" s="9">
        <f t="shared" si="3"/>
        <v>236</v>
      </c>
      <c r="B241" s="16" t="s">
        <v>641</v>
      </c>
      <c r="C241" s="9" t="s">
        <v>53</v>
      </c>
      <c r="D241" s="9" t="s">
        <v>642</v>
      </c>
      <c r="E241" s="9" t="s">
        <v>594</v>
      </c>
      <c r="F241" s="9" t="s">
        <v>594</v>
      </c>
      <c r="G241" s="9" t="s">
        <v>158</v>
      </c>
      <c r="H241" s="9" t="s">
        <v>159</v>
      </c>
      <c r="I241" s="9" t="s">
        <v>160</v>
      </c>
      <c r="J241" s="15">
        <v>187620</v>
      </c>
      <c r="K241" s="15">
        <v>31270</v>
      </c>
    </row>
    <row r="242" spans="1:11">
      <c r="A242" s="9">
        <f t="shared" si="3"/>
        <v>237</v>
      </c>
      <c r="B242" s="16" t="s">
        <v>641</v>
      </c>
      <c r="C242" s="9" t="s">
        <v>53</v>
      </c>
      <c r="D242" s="9" t="s">
        <v>236</v>
      </c>
      <c r="E242" s="9" t="s">
        <v>643</v>
      </c>
      <c r="F242" s="9" t="s">
        <v>643</v>
      </c>
      <c r="G242" s="9" t="s">
        <v>644</v>
      </c>
      <c r="H242" s="9" t="s">
        <v>344</v>
      </c>
      <c r="I242" s="9" t="s">
        <v>645</v>
      </c>
      <c r="J242" s="15">
        <v>22000</v>
      </c>
      <c r="K242" s="15">
        <v>3666.67</v>
      </c>
    </row>
    <row r="243" spans="1:11">
      <c r="A243" s="9">
        <f t="shared" si="3"/>
        <v>238</v>
      </c>
      <c r="B243" s="16" t="s">
        <v>641</v>
      </c>
      <c r="C243" s="9" t="s">
        <v>53</v>
      </c>
      <c r="D243" s="9" t="s">
        <v>646</v>
      </c>
      <c r="E243" s="9" t="s">
        <v>647</v>
      </c>
      <c r="F243" s="9" t="s">
        <v>647</v>
      </c>
      <c r="G243" s="9" t="s">
        <v>638</v>
      </c>
      <c r="H243" s="9" t="s">
        <v>639</v>
      </c>
      <c r="I243" s="9" t="s">
        <v>640</v>
      </c>
      <c r="J243" s="15">
        <v>26000</v>
      </c>
      <c r="K243" s="15">
        <v>4333.33</v>
      </c>
    </row>
    <row r="244" spans="1:11">
      <c r="A244" s="9">
        <f t="shared" si="3"/>
        <v>239</v>
      </c>
      <c r="B244" s="16" t="s">
        <v>641</v>
      </c>
      <c r="C244" s="9" t="s">
        <v>53</v>
      </c>
      <c r="D244" s="9" t="s">
        <v>648</v>
      </c>
      <c r="E244" s="9" t="s">
        <v>649</v>
      </c>
      <c r="F244" s="9" t="s">
        <v>649</v>
      </c>
      <c r="G244" s="9" t="s">
        <v>650</v>
      </c>
      <c r="H244" s="9" t="s">
        <v>651</v>
      </c>
      <c r="I244" s="9" t="s">
        <v>652</v>
      </c>
      <c r="J244" s="15">
        <v>17600</v>
      </c>
      <c r="K244" s="15">
        <v>2933.33</v>
      </c>
    </row>
    <row r="245" spans="1:11">
      <c r="A245" s="9">
        <f t="shared" si="3"/>
        <v>240</v>
      </c>
      <c r="B245" s="16" t="s">
        <v>641</v>
      </c>
      <c r="C245" s="9" t="s">
        <v>53</v>
      </c>
      <c r="D245" s="9" t="s">
        <v>653</v>
      </c>
      <c r="E245" s="9" t="s">
        <v>654</v>
      </c>
      <c r="F245" s="9" t="s">
        <v>654</v>
      </c>
      <c r="G245" s="9" t="s">
        <v>655</v>
      </c>
      <c r="H245" s="9" t="s">
        <v>656</v>
      </c>
      <c r="I245" s="9" t="s">
        <v>657</v>
      </c>
      <c r="J245" s="15">
        <v>20000</v>
      </c>
      <c r="K245" s="15">
        <v>3333.33</v>
      </c>
    </row>
    <row r="246" spans="1:11">
      <c r="A246" s="9">
        <f t="shared" si="3"/>
        <v>241</v>
      </c>
      <c r="B246" s="16" t="s">
        <v>641</v>
      </c>
      <c r="C246" s="9" t="s">
        <v>53</v>
      </c>
      <c r="D246" s="9" t="s">
        <v>658</v>
      </c>
      <c r="E246" s="9" t="s">
        <v>548</v>
      </c>
      <c r="F246" s="9" t="s">
        <v>659</v>
      </c>
      <c r="G246" s="9" t="s">
        <v>409</v>
      </c>
      <c r="H246" s="9" t="s">
        <v>410</v>
      </c>
      <c r="I246" s="9" t="s">
        <v>411</v>
      </c>
      <c r="J246" s="15">
        <v>618983</v>
      </c>
      <c r="K246" s="15">
        <v>103163.83</v>
      </c>
    </row>
    <row r="247" spans="1:11">
      <c r="A247" s="9">
        <f t="shared" si="3"/>
        <v>242</v>
      </c>
      <c r="B247" s="16" t="s">
        <v>641</v>
      </c>
      <c r="C247" s="9" t="s">
        <v>53</v>
      </c>
      <c r="D247" s="9" t="s">
        <v>468</v>
      </c>
      <c r="E247" s="9" t="s">
        <v>660</v>
      </c>
      <c r="F247" s="9" t="s">
        <v>660</v>
      </c>
      <c r="G247" s="9" t="s">
        <v>479</v>
      </c>
      <c r="H247" s="9" t="s">
        <v>327</v>
      </c>
      <c r="I247" s="9" t="s">
        <v>480</v>
      </c>
      <c r="J247" s="15">
        <v>26500</v>
      </c>
      <c r="K247" s="15">
        <v>4416.67</v>
      </c>
    </row>
    <row r="248" spans="1:11">
      <c r="A248" s="9">
        <f t="shared" si="3"/>
        <v>243</v>
      </c>
      <c r="B248" s="16" t="s">
        <v>641</v>
      </c>
      <c r="C248" s="9" t="s">
        <v>53</v>
      </c>
      <c r="D248" s="9" t="s">
        <v>661</v>
      </c>
      <c r="E248" s="9" t="s">
        <v>662</v>
      </c>
      <c r="F248" s="9" t="s">
        <v>662</v>
      </c>
      <c r="G248" s="9" t="s">
        <v>326</v>
      </c>
      <c r="H248" s="9" t="s">
        <v>327</v>
      </c>
      <c r="I248" s="9" t="s">
        <v>328</v>
      </c>
      <c r="J248" s="15">
        <v>435666</v>
      </c>
      <c r="K248" s="15">
        <v>72611</v>
      </c>
    </row>
    <row r="249" spans="1:11">
      <c r="A249" s="9">
        <f t="shared" si="3"/>
        <v>244</v>
      </c>
      <c r="B249" s="16" t="s">
        <v>641</v>
      </c>
      <c r="C249" s="9" t="s">
        <v>53</v>
      </c>
      <c r="D249" s="9" t="s">
        <v>663</v>
      </c>
      <c r="E249" s="9" t="s">
        <v>619</v>
      </c>
      <c r="F249" s="9" t="s">
        <v>662</v>
      </c>
      <c r="G249" s="9" t="s">
        <v>664</v>
      </c>
      <c r="H249" s="9" t="s">
        <v>665</v>
      </c>
      <c r="I249" s="9" t="s">
        <v>666</v>
      </c>
      <c r="J249" s="15">
        <v>10893</v>
      </c>
      <c r="K249" s="15">
        <v>1815.5</v>
      </c>
    </row>
    <row r="250" spans="1:11">
      <c r="A250" s="9">
        <f t="shared" si="3"/>
        <v>245</v>
      </c>
      <c r="B250" s="16" t="s">
        <v>641</v>
      </c>
      <c r="C250" s="9" t="s">
        <v>53</v>
      </c>
      <c r="D250" s="9" t="s">
        <v>667</v>
      </c>
      <c r="E250" s="9" t="s">
        <v>668</v>
      </c>
      <c r="F250" s="9" t="s">
        <v>668</v>
      </c>
      <c r="G250" s="9" t="s">
        <v>650</v>
      </c>
      <c r="H250" s="9" t="s">
        <v>651</v>
      </c>
      <c r="I250" s="9" t="s">
        <v>652</v>
      </c>
      <c r="J250" s="15">
        <v>453904</v>
      </c>
      <c r="K250" s="15">
        <v>75650.67</v>
      </c>
    </row>
    <row r="251" spans="1:11">
      <c r="A251" s="9">
        <f t="shared" si="3"/>
        <v>246</v>
      </c>
      <c r="B251" s="16" t="s">
        <v>641</v>
      </c>
      <c r="C251" s="9" t="s">
        <v>53</v>
      </c>
      <c r="D251" s="9" t="s">
        <v>669</v>
      </c>
      <c r="E251" s="9" t="s">
        <v>668</v>
      </c>
      <c r="F251" s="9" t="s">
        <v>668</v>
      </c>
      <c r="G251" s="9" t="s">
        <v>670</v>
      </c>
      <c r="H251" s="9" t="s">
        <v>139</v>
      </c>
      <c r="I251" s="9" t="s">
        <v>671</v>
      </c>
      <c r="J251" s="15">
        <v>8850</v>
      </c>
      <c r="K251" s="15">
        <v>1475</v>
      </c>
    </row>
    <row r="252" spans="1:11">
      <c r="A252" s="9">
        <f t="shared" si="3"/>
        <v>247</v>
      </c>
      <c r="B252" s="16" t="s">
        <v>641</v>
      </c>
      <c r="C252" s="9" t="s">
        <v>53</v>
      </c>
      <c r="D252" s="9" t="s">
        <v>672</v>
      </c>
      <c r="E252" s="9" t="s">
        <v>668</v>
      </c>
      <c r="F252" s="9" t="s">
        <v>668</v>
      </c>
      <c r="G252" s="9" t="s">
        <v>544</v>
      </c>
      <c r="H252" s="9" t="s">
        <v>545</v>
      </c>
      <c r="I252" s="9" t="s">
        <v>546</v>
      </c>
      <c r="J252" s="15">
        <v>1636</v>
      </c>
      <c r="K252" s="15">
        <v>272.67</v>
      </c>
    </row>
    <row r="253" spans="1:11">
      <c r="A253" s="9">
        <f t="shared" si="3"/>
        <v>248</v>
      </c>
      <c r="B253" s="16" t="s">
        <v>641</v>
      </c>
      <c r="C253" s="9" t="s">
        <v>53</v>
      </c>
      <c r="D253" s="9" t="s">
        <v>673</v>
      </c>
      <c r="E253" s="9" t="s">
        <v>674</v>
      </c>
      <c r="F253" s="9" t="s">
        <v>675</v>
      </c>
      <c r="G253" s="9" t="s">
        <v>299</v>
      </c>
      <c r="H253" s="9" t="s">
        <v>300</v>
      </c>
      <c r="I253" s="9" t="s">
        <v>301</v>
      </c>
      <c r="J253" s="15">
        <v>294975</v>
      </c>
      <c r="K253" s="15">
        <v>49162.5</v>
      </c>
    </row>
    <row r="254" spans="1:11">
      <c r="A254" s="9">
        <f t="shared" si="3"/>
        <v>249</v>
      </c>
      <c r="B254" s="16" t="s">
        <v>641</v>
      </c>
      <c r="C254" s="9" t="s">
        <v>53</v>
      </c>
      <c r="D254" s="9" t="s">
        <v>676</v>
      </c>
      <c r="E254" s="9" t="s">
        <v>675</v>
      </c>
      <c r="F254" s="9" t="s">
        <v>675</v>
      </c>
      <c r="G254" s="9" t="s">
        <v>650</v>
      </c>
      <c r="H254" s="9" t="s">
        <v>651</v>
      </c>
      <c r="I254" s="9" t="s">
        <v>652</v>
      </c>
      <c r="J254" s="15">
        <v>880000</v>
      </c>
      <c r="K254" s="15">
        <v>146666.67000000001</v>
      </c>
    </row>
    <row r="255" spans="1:11" ht="30">
      <c r="A255" s="9">
        <f t="shared" si="3"/>
        <v>250</v>
      </c>
      <c r="B255" s="16" t="s">
        <v>641</v>
      </c>
      <c r="C255" s="9" t="s">
        <v>53</v>
      </c>
      <c r="D255" s="9" t="s">
        <v>677</v>
      </c>
      <c r="E255" s="9" t="s">
        <v>678</v>
      </c>
      <c r="F255" s="9" t="s">
        <v>675</v>
      </c>
      <c r="G255" s="9" t="s">
        <v>507</v>
      </c>
      <c r="H255" s="9" t="s">
        <v>36</v>
      </c>
      <c r="I255" s="9" t="s">
        <v>508</v>
      </c>
      <c r="J255" s="15">
        <v>15200</v>
      </c>
      <c r="K255" s="15">
        <v>2533.33</v>
      </c>
    </row>
    <row r="256" spans="1:11">
      <c r="A256" s="9">
        <f t="shared" si="3"/>
        <v>251</v>
      </c>
      <c r="B256" s="16" t="s">
        <v>641</v>
      </c>
      <c r="C256" s="9" t="s">
        <v>53</v>
      </c>
      <c r="D256" s="9" t="s">
        <v>679</v>
      </c>
      <c r="E256" s="9" t="s">
        <v>680</v>
      </c>
      <c r="F256" s="9" t="s">
        <v>680</v>
      </c>
      <c r="G256" s="9" t="s">
        <v>56</v>
      </c>
      <c r="H256" s="9" t="s">
        <v>57</v>
      </c>
      <c r="I256" s="9" t="s">
        <v>58</v>
      </c>
      <c r="J256" s="15">
        <v>503456</v>
      </c>
      <c r="K256" s="15">
        <v>83909.33</v>
      </c>
    </row>
    <row r="257" spans="1:11">
      <c r="A257" s="9">
        <f t="shared" si="3"/>
        <v>252</v>
      </c>
      <c r="B257" s="16" t="s">
        <v>641</v>
      </c>
      <c r="C257" s="9" t="s">
        <v>53</v>
      </c>
      <c r="D257" s="9" t="s">
        <v>681</v>
      </c>
      <c r="E257" s="9" t="s">
        <v>680</v>
      </c>
      <c r="F257" s="9" t="s">
        <v>680</v>
      </c>
      <c r="G257" s="9" t="s">
        <v>56</v>
      </c>
      <c r="H257" s="9" t="s">
        <v>57</v>
      </c>
      <c r="I257" s="9" t="s">
        <v>58</v>
      </c>
      <c r="J257" s="15">
        <v>50400</v>
      </c>
      <c r="K257" s="15">
        <v>8400</v>
      </c>
    </row>
    <row r="258" spans="1:11">
      <c r="A258" s="9">
        <f t="shared" si="3"/>
        <v>253</v>
      </c>
      <c r="B258" s="16" t="s">
        <v>641</v>
      </c>
      <c r="C258" s="9" t="s">
        <v>53</v>
      </c>
      <c r="D258" s="9" t="s">
        <v>682</v>
      </c>
      <c r="E258" s="9" t="s">
        <v>680</v>
      </c>
      <c r="F258" s="9" t="s">
        <v>680</v>
      </c>
      <c r="G258" s="9" t="s">
        <v>304</v>
      </c>
      <c r="H258" s="9" t="s">
        <v>294</v>
      </c>
      <c r="I258" s="9" t="s">
        <v>305</v>
      </c>
      <c r="J258" s="15">
        <v>2840</v>
      </c>
      <c r="K258" s="15">
        <v>473.34</v>
      </c>
    </row>
    <row r="259" spans="1:11">
      <c r="A259" s="9">
        <f t="shared" si="3"/>
        <v>254</v>
      </c>
      <c r="B259" s="16" t="s">
        <v>641</v>
      </c>
      <c r="C259" s="9" t="s">
        <v>53</v>
      </c>
      <c r="D259" s="9" t="s">
        <v>683</v>
      </c>
      <c r="E259" s="9" t="s">
        <v>680</v>
      </c>
      <c r="F259" s="9" t="s">
        <v>680</v>
      </c>
      <c r="G259" s="9" t="s">
        <v>684</v>
      </c>
      <c r="H259" s="9" t="s">
        <v>294</v>
      </c>
      <c r="I259" s="9" t="s">
        <v>685</v>
      </c>
      <c r="J259" s="15">
        <v>687412</v>
      </c>
      <c r="K259" s="15">
        <v>114568.67</v>
      </c>
    </row>
    <row r="260" spans="1:11">
      <c r="A260" s="9">
        <f t="shared" si="3"/>
        <v>255</v>
      </c>
      <c r="B260" s="16" t="s">
        <v>641</v>
      </c>
      <c r="C260" s="9" t="s">
        <v>53</v>
      </c>
      <c r="D260" s="9" t="s">
        <v>686</v>
      </c>
      <c r="E260" s="9" t="s">
        <v>687</v>
      </c>
      <c r="F260" s="9" t="s">
        <v>687</v>
      </c>
      <c r="G260" s="9" t="s">
        <v>318</v>
      </c>
      <c r="H260" s="9" t="s">
        <v>319</v>
      </c>
      <c r="I260" s="9" t="s">
        <v>320</v>
      </c>
      <c r="J260" s="15">
        <v>672</v>
      </c>
      <c r="K260" s="15">
        <v>95.67</v>
      </c>
    </row>
    <row r="261" spans="1:11">
      <c r="A261" s="9">
        <f t="shared" si="3"/>
        <v>256</v>
      </c>
      <c r="B261" s="16" t="s">
        <v>641</v>
      </c>
      <c r="C261" s="9" t="s">
        <v>53</v>
      </c>
      <c r="D261" s="9" t="s">
        <v>688</v>
      </c>
      <c r="E261" s="9" t="s">
        <v>606</v>
      </c>
      <c r="F261" s="9" t="s">
        <v>689</v>
      </c>
      <c r="G261" s="9" t="s">
        <v>326</v>
      </c>
      <c r="H261" s="9" t="s">
        <v>327</v>
      </c>
      <c r="I261" s="9" t="s">
        <v>328</v>
      </c>
      <c r="J261" s="15">
        <v>581251</v>
      </c>
      <c r="K261" s="15">
        <v>96875.17</v>
      </c>
    </row>
    <row r="262" spans="1:11">
      <c r="A262" s="9">
        <f t="shared" si="3"/>
        <v>257</v>
      </c>
      <c r="B262" s="16" t="s">
        <v>641</v>
      </c>
      <c r="C262" s="9" t="s">
        <v>53</v>
      </c>
      <c r="D262" s="9" t="s">
        <v>690</v>
      </c>
      <c r="E262" s="9" t="s">
        <v>689</v>
      </c>
      <c r="F262" s="9" t="s">
        <v>689</v>
      </c>
      <c r="G262" s="9" t="s">
        <v>650</v>
      </c>
      <c r="H262" s="9" t="s">
        <v>651</v>
      </c>
      <c r="I262" s="9" t="s">
        <v>652</v>
      </c>
      <c r="J262" s="15">
        <v>362895</v>
      </c>
      <c r="K262" s="15">
        <v>60482.5</v>
      </c>
    </row>
    <row r="263" spans="1:11" ht="30">
      <c r="A263" s="9">
        <f t="shared" ref="A263:A326" si="4">A262+1</f>
        <v>258</v>
      </c>
      <c r="B263" s="16" t="s">
        <v>641</v>
      </c>
      <c r="C263" s="9" t="s">
        <v>53</v>
      </c>
      <c r="D263" s="9" t="s">
        <v>691</v>
      </c>
      <c r="E263" s="9" t="s">
        <v>692</v>
      </c>
      <c r="F263" s="9" t="s">
        <v>692</v>
      </c>
      <c r="G263" s="9" t="s">
        <v>693</v>
      </c>
      <c r="H263" s="9" t="s">
        <v>274</v>
      </c>
      <c r="I263" s="9" t="s">
        <v>694</v>
      </c>
      <c r="J263" s="15">
        <v>4272</v>
      </c>
      <c r="K263" s="15">
        <v>712</v>
      </c>
    </row>
    <row r="264" spans="1:11">
      <c r="A264" s="9">
        <f t="shared" si="4"/>
        <v>259</v>
      </c>
      <c r="B264" s="16" t="s">
        <v>641</v>
      </c>
      <c r="C264" s="9" t="s">
        <v>53</v>
      </c>
      <c r="D264" s="9" t="s">
        <v>695</v>
      </c>
      <c r="E264" s="9" t="s">
        <v>692</v>
      </c>
      <c r="F264" s="9" t="s">
        <v>692</v>
      </c>
      <c r="G264" s="9" t="s">
        <v>318</v>
      </c>
      <c r="H264" s="9" t="s">
        <v>319</v>
      </c>
      <c r="I264" s="9" t="s">
        <v>320</v>
      </c>
      <c r="J264" s="15">
        <v>642</v>
      </c>
      <c r="K264" s="15">
        <v>93.5</v>
      </c>
    </row>
    <row r="265" spans="1:11">
      <c r="A265" s="9">
        <f t="shared" si="4"/>
        <v>260</v>
      </c>
      <c r="B265" s="16" t="s">
        <v>641</v>
      </c>
      <c r="C265" s="9" t="s">
        <v>53</v>
      </c>
      <c r="D265" s="9" t="s">
        <v>683</v>
      </c>
      <c r="E265" s="9" t="s">
        <v>696</v>
      </c>
      <c r="F265" s="9" t="s">
        <v>696</v>
      </c>
      <c r="G265" s="9" t="s">
        <v>356</v>
      </c>
      <c r="H265" s="9" t="s">
        <v>357</v>
      </c>
      <c r="I265" s="9" t="s">
        <v>358</v>
      </c>
      <c r="J265" s="15">
        <v>608260</v>
      </c>
      <c r="K265" s="15">
        <v>101376.67</v>
      </c>
    </row>
    <row r="266" spans="1:11">
      <c r="A266" s="9">
        <f t="shared" si="4"/>
        <v>261</v>
      </c>
      <c r="B266" s="16" t="s">
        <v>641</v>
      </c>
      <c r="C266" s="9" t="s">
        <v>53</v>
      </c>
      <c r="D266" s="9" t="s">
        <v>697</v>
      </c>
      <c r="E266" s="9" t="s">
        <v>698</v>
      </c>
      <c r="F266" s="9" t="s">
        <v>698</v>
      </c>
      <c r="G266" s="9" t="s">
        <v>650</v>
      </c>
      <c r="H266" s="9" t="s">
        <v>651</v>
      </c>
      <c r="I266" s="9" t="s">
        <v>652</v>
      </c>
      <c r="J266" s="15">
        <v>150000</v>
      </c>
      <c r="K266" s="15">
        <v>25000</v>
      </c>
    </row>
    <row r="267" spans="1:11">
      <c r="A267" s="9">
        <f t="shared" si="4"/>
        <v>262</v>
      </c>
      <c r="B267" s="16" t="s">
        <v>641</v>
      </c>
      <c r="C267" s="9" t="s">
        <v>53</v>
      </c>
      <c r="D267" s="9" t="s">
        <v>699</v>
      </c>
      <c r="E267" s="9" t="s">
        <v>698</v>
      </c>
      <c r="F267" s="9" t="s">
        <v>698</v>
      </c>
      <c r="G267" s="9" t="s">
        <v>650</v>
      </c>
      <c r="H267" s="9" t="s">
        <v>651</v>
      </c>
      <c r="I267" s="9" t="s">
        <v>652</v>
      </c>
      <c r="J267" s="15">
        <v>868500</v>
      </c>
      <c r="K267" s="15">
        <v>144750</v>
      </c>
    </row>
    <row r="268" spans="1:11">
      <c r="A268" s="9">
        <f t="shared" si="4"/>
        <v>263</v>
      </c>
      <c r="B268" s="16" t="s">
        <v>641</v>
      </c>
      <c r="C268" s="9" t="s">
        <v>53</v>
      </c>
      <c r="D268" s="9" t="s">
        <v>700</v>
      </c>
      <c r="E268" s="9" t="s">
        <v>698</v>
      </c>
      <c r="F268" s="9" t="s">
        <v>698</v>
      </c>
      <c r="G268" s="9" t="s">
        <v>555</v>
      </c>
      <c r="H268" s="9" t="s">
        <v>274</v>
      </c>
      <c r="I268" s="9" t="s">
        <v>556</v>
      </c>
      <c r="J268" s="15">
        <v>23000</v>
      </c>
      <c r="K268" s="15">
        <v>3833.33</v>
      </c>
    </row>
    <row r="269" spans="1:11">
      <c r="A269" s="9">
        <f t="shared" si="4"/>
        <v>264</v>
      </c>
      <c r="B269" s="16" t="s">
        <v>641</v>
      </c>
      <c r="C269" s="9" t="s">
        <v>53</v>
      </c>
      <c r="D269" s="9" t="s">
        <v>439</v>
      </c>
      <c r="E269" s="9" t="s">
        <v>701</v>
      </c>
      <c r="F269" s="9" t="s">
        <v>701</v>
      </c>
      <c r="G269" s="9" t="s">
        <v>702</v>
      </c>
      <c r="H269" s="9" t="s">
        <v>300</v>
      </c>
      <c r="I269" s="9" t="s">
        <v>703</v>
      </c>
      <c r="J269" s="15">
        <v>35000</v>
      </c>
      <c r="K269" s="15">
        <v>5833.34</v>
      </c>
    </row>
    <row r="270" spans="1:11">
      <c r="A270" s="9">
        <f t="shared" si="4"/>
        <v>265</v>
      </c>
      <c r="B270" s="16" t="s">
        <v>641</v>
      </c>
      <c r="C270" s="9" t="s">
        <v>53</v>
      </c>
      <c r="D270" s="9" t="s">
        <v>236</v>
      </c>
      <c r="E270" s="9" t="s">
        <v>704</v>
      </c>
      <c r="F270" s="9" t="s">
        <v>704</v>
      </c>
      <c r="G270" s="9" t="s">
        <v>705</v>
      </c>
      <c r="H270" s="9" t="s">
        <v>68</v>
      </c>
      <c r="I270" s="9" t="s">
        <v>706</v>
      </c>
      <c r="J270" s="15">
        <v>208180</v>
      </c>
      <c r="K270" s="15">
        <v>34696.67</v>
      </c>
    </row>
    <row r="271" spans="1:11">
      <c r="A271" s="9">
        <f t="shared" si="4"/>
        <v>266</v>
      </c>
      <c r="B271" s="16" t="s">
        <v>641</v>
      </c>
      <c r="C271" s="9" t="s">
        <v>53</v>
      </c>
      <c r="D271" s="9" t="s">
        <v>707</v>
      </c>
      <c r="E271" s="9" t="s">
        <v>704</v>
      </c>
      <c r="F271" s="9" t="s">
        <v>704</v>
      </c>
      <c r="G271" s="9" t="s">
        <v>684</v>
      </c>
      <c r="H271" s="9" t="s">
        <v>294</v>
      </c>
      <c r="I271" s="9" t="s">
        <v>685</v>
      </c>
      <c r="J271" s="15">
        <v>682516</v>
      </c>
      <c r="K271" s="15">
        <v>113752.67</v>
      </c>
    </row>
    <row r="272" spans="1:11">
      <c r="A272" s="9">
        <f t="shared" si="4"/>
        <v>267</v>
      </c>
      <c r="B272" s="16" t="s">
        <v>641</v>
      </c>
      <c r="C272" s="9" t="s">
        <v>53</v>
      </c>
      <c r="D272" s="9" t="s">
        <v>708</v>
      </c>
      <c r="E272" s="9" t="s">
        <v>709</v>
      </c>
      <c r="F272" s="9" t="s">
        <v>709</v>
      </c>
      <c r="G272" s="9" t="s">
        <v>650</v>
      </c>
      <c r="H272" s="9" t="s">
        <v>651</v>
      </c>
      <c r="I272" s="9" t="s">
        <v>652</v>
      </c>
      <c r="J272" s="15">
        <v>24500</v>
      </c>
      <c r="K272" s="15">
        <v>4083.33</v>
      </c>
    </row>
    <row r="273" spans="1:11">
      <c r="A273" s="9">
        <f t="shared" si="4"/>
        <v>268</v>
      </c>
      <c r="B273" s="16" t="s">
        <v>641</v>
      </c>
      <c r="C273" s="9" t="s">
        <v>53</v>
      </c>
      <c r="D273" s="9" t="s">
        <v>710</v>
      </c>
      <c r="E273" s="9" t="s">
        <v>711</v>
      </c>
      <c r="F273" s="9" t="s">
        <v>711</v>
      </c>
      <c r="G273" s="9" t="s">
        <v>712</v>
      </c>
      <c r="H273" s="9" t="s">
        <v>545</v>
      </c>
      <c r="I273" s="9" t="s">
        <v>713</v>
      </c>
      <c r="J273" s="15">
        <v>22000</v>
      </c>
      <c r="K273" s="15">
        <v>3666.66</v>
      </c>
    </row>
    <row r="274" spans="1:11">
      <c r="A274" s="9">
        <f t="shared" si="4"/>
        <v>269</v>
      </c>
      <c r="B274" s="16" t="s">
        <v>641</v>
      </c>
      <c r="C274" s="9" t="s">
        <v>53</v>
      </c>
      <c r="D274" s="9" t="s">
        <v>714</v>
      </c>
      <c r="E274" s="9" t="s">
        <v>711</v>
      </c>
      <c r="F274" s="9" t="s">
        <v>711</v>
      </c>
      <c r="G274" s="9" t="s">
        <v>326</v>
      </c>
      <c r="H274" s="9" t="s">
        <v>327</v>
      </c>
      <c r="I274" s="9" t="s">
        <v>328</v>
      </c>
      <c r="J274" s="15">
        <v>441554</v>
      </c>
      <c r="K274" s="15">
        <v>73592.33</v>
      </c>
    </row>
    <row r="275" spans="1:11">
      <c r="A275" s="9">
        <f t="shared" si="4"/>
        <v>270</v>
      </c>
      <c r="B275" s="16" t="s">
        <v>641</v>
      </c>
      <c r="C275" s="9" t="s">
        <v>53</v>
      </c>
      <c r="D275" s="9" t="s">
        <v>715</v>
      </c>
      <c r="E275" s="9" t="s">
        <v>716</v>
      </c>
      <c r="F275" s="9" t="s">
        <v>716</v>
      </c>
      <c r="G275" s="9" t="s">
        <v>650</v>
      </c>
      <c r="H275" s="9" t="s">
        <v>651</v>
      </c>
      <c r="I275" s="9" t="s">
        <v>652</v>
      </c>
      <c r="J275" s="15">
        <v>146730</v>
      </c>
      <c r="K275" s="15">
        <v>24455</v>
      </c>
    </row>
    <row r="276" spans="1:11">
      <c r="A276" s="9">
        <f t="shared" si="4"/>
        <v>271</v>
      </c>
      <c r="B276" s="16" t="s">
        <v>641</v>
      </c>
      <c r="C276" s="9" t="s">
        <v>53</v>
      </c>
      <c r="D276" s="9" t="s">
        <v>717</v>
      </c>
      <c r="E276" s="9" t="s">
        <v>716</v>
      </c>
      <c r="F276" s="9" t="s">
        <v>716</v>
      </c>
      <c r="G276" s="9" t="s">
        <v>479</v>
      </c>
      <c r="H276" s="9" t="s">
        <v>327</v>
      </c>
      <c r="I276" s="9" t="s">
        <v>480</v>
      </c>
      <c r="J276" s="15">
        <v>26500</v>
      </c>
      <c r="K276" s="15">
        <v>4416.67</v>
      </c>
    </row>
    <row r="277" spans="1:11">
      <c r="A277" s="9">
        <f t="shared" si="4"/>
        <v>272</v>
      </c>
      <c r="B277" s="16" t="s">
        <v>641</v>
      </c>
      <c r="C277" s="9" t="s">
        <v>53</v>
      </c>
      <c r="D277" s="9" t="s">
        <v>718</v>
      </c>
      <c r="E277" s="9" t="s">
        <v>716</v>
      </c>
      <c r="F277" s="9" t="s">
        <v>716</v>
      </c>
      <c r="G277" s="9" t="s">
        <v>650</v>
      </c>
      <c r="H277" s="9" t="s">
        <v>651</v>
      </c>
      <c r="I277" s="9" t="s">
        <v>652</v>
      </c>
      <c r="J277" s="15">
        <v>899184</v>
      </c>
      <c r="K277" s="15">
        <v>149864</v>
      </c>
    </row>
    <row r="278" spans="1:11">
      <c r="A278" s="9">
        <f t="shared" si="4"/>
        <v>273</v>
      </c>
      <c r="B278" s="16" t="s">
        <v>641</v>
      </c>
      <c r="C278" s="9" t="s">
        <v>53</v>
      </c>
      <c r="D278" s="9" t="s">
        <v>719</v>
      </c>
      <c r="E278" s="9" t="s">
        <v>716</v>
      </c>
      <c r="F278" s="9" t="s">
        <v>716</v>
      </c>
      <c r="G278" s="9" t="s">
        <v>720</v>
      </c>
      <c r="H278" s="9" t="s">
        <v>721</v>
      </c>
      <c r="I278" s="9" t="s">
        <v>722</v>
      </c>
      <c r="J278" s="15">
        <v>25000</v>
      </c>
      <c r="K278" s="15">
        <v>4166.67</v>
      </c>
    </row>
    <row r="279" spans="1:11">
      <c r="A279" s="9">
        <f t="shared" si="4"/>
        <v>274</v>
      </c>
      <c r="B279" s="16" t="s">
        <v>641</v>
      </c>
      <c r="C279" s="9" t="s">
        <v>53</v>
      </c>
      <c r="D279" s="9" t="s">
        <v>723</v>
      </c>
      <c r="E279" s="9" t="s">
        <v>724</v>
      </c>
      <c r="F279" s="9" t="s">
        <v>724</v>
      </c>
      <c r="G279" s="9" t="s">
        <v>725</v>
      </c>
      <c r="H279" s="9" t="s">
        <v>726</v>
      </c>
      <c r="I279" s="9" t="s">
        <v>727</v>
      </c>
      <c r="J279" s="15">
        <v>10000</v>
      </c>
      <c r="K279" s="15">
        <v>1666.67</v>
      </c>
    </row>
    <row r="280" spans="1:11">
      <c r="A280" s="9">
        <f t="shared" si="4"/>
        <v>275</v>
      </c>
      <c r="B280" s="16" t="s">
        <v>641</v>
      </c>
      <c r="C280" s="9" t="s">
        <v>53</v>
      </c>
      <c r="D280" s="9" t="s">
        <v>728</v>
      </c>
      <c r="E280" s="9" t="s">
        <v>729</v>
      </c>
      <c r="F280" s="9" t="s">
        <v>729</v>
      </c>
      <c r="G280" s="9" t="s">
        <v>158</v>
      </c>
      <c r="H280" s="9" t="s">
        <v>159</v>
      </c>
      <c r="I280" s="9" t="s">
        <v>160</v>
      </c>
      <c r="J280" s="15">
        <v>12000</v>
      </c>
      <c r="K280" s="15">
        <v>2000</v>
      </c>
    </row>
    <row r="281" spans="1:11">
      <c r="A281" s="9">
        <f t="shared" si="4"/>
        <v>276</v>
      </c>
      <c r="B281" s="16" t="s">
        <v>641</v>
      </c>
      <c r="C281" s="9" t="s">
        <v>53</v>
      </c>
      <c r="D281" s="9" t="s">
        <v>730</v>
      </c>
      <c r="E281" s="9" t="s">
        <v>729</v>
      </c>
      <c r="F281" s="9" t="s">
        <v>729</v>
      </c>
      <c r="G281" s="9" t="s">
        <v>102</v>
      </c>
      <c r="H281" s="9" t="s">
        <v>103</v>
      </c>
      <c r="I281" s="9" t="s">
        <v>104</v>
      </c>
      <c r="J281" s="15">
        <v>3620</v>
      </c>
      <c r="K281" s="15">
        <v>603.33000000000004</v>
      </c>
    </row>
    <row r="282" spans="1:11">
      <c r="A282" s="9">
        <f t="shared" si="4"/>
        <v>277</v>
      </c>
      <c r="B282" s="16" t="s">
        <v>641</v>
      </c>
      <c r="C282" s="9" t="s">
        <v>71</v>
      </c>
      <c r="D282" s="9" t="s">
        <v>72</v>
      </c>
      <c r="E282" s="9" t="s">
        <v>675</v>
      </c>
      <c r="F282" s="9" t="s">
        <v>36</v>
      </c>
      <c r="G282" s="9" t="s">
        <v>74</v>
      </c>
      <c r="H282" s="9" t="s">
        <v>75</v>
      </c>
      <c r="I282" s="9" t="s">
        <v>38</v>
      </c>
      <c r="J282" s="15">
        <v>248000</v>
      </c>
      <c r="K282" s="15">
        <v>41333.33</v>
      </c>
    </row>
    <row r="283" spans="1:11">
      <c r="A283" s="9">
        <f t="shared" si="4"/>
        <v>278</v>
      </c>
      <c r="B283" s="16" t="s">
        <v>641</v>
      </c>
      <c r="C283" s="9" t="s">
        <v>53</v>
      </c>
      <c r="D283" s="9" t="s">
        <v>731</v>
      </c>
      <c r="E283" s="9" t="s">
        <v>732</v>
      </c>
      <c r="F283" s="9" t="s">
        <v>732</v>
      </c>
      <c r="G283" s="9" t="s">
        <v>733</v>
      </c>
      <c r="H283" s="9" t="s">
        <v>36</v>
      </c>
      <c r="I283" s="9" t="s">
        <v>734</v>
      </c>
      <c r="J283" s="15">
        <v>415886</v>
      </c>
      <c r="K283" s="15">
        <v>69314.33</v>
      </c>
    </row>
    <row r="284" spans="1:11">
      <c r="A284" s="9">
        <f t="shared" si="4"/>
        <v>279</v>
      </c>
      <c r="B284" s="16" t="s">
        <v>641</v>
      </c>
      <c r="C284" s="9" t="s">
        <v>53</v>
      </c>
      <c r="D284" s="9" t="s">
        <v>735</v>
      </c>
      <c r="E284" s="9" t="s">
        <v>732</v>
      </c>
      <c r="F284" s="9" t="s">
        <v>732</v>
      </c>
      <c r="G284" s="9" t="s">
        <v>733</v>
      </c>
      <c r="H284" s="9" t="s">
        <v>36</v>
      </c>
      <c r="I284" s="9" t="s">
        <v>734</v>
      </c>
      <c r="J284" s="15">
        <v>497922</v>
      </c>
      <c r="K284" s="15">
        <v>82987</v>
      </c>
    </row>
    <row r="285" spans="1:11">
      <c r="A285" s="9">
        <f t="shared" si="4"/>
        <v>280</v>
      </c>
      <c r="B285" s="16" t="s">
        <v>641</v>
      </c>
      <c r="C285" s="9" t="s">
        <v>53</v>
      </c>
      <c r="D285" s="9" t="s">
        <v>736</v>
      </c>
      <c r="E285" s="9" t="s">
        <v>732</v>
      </c>
      <c r="F285" s="9" t="s">
        <v>732</v>
      </c>
      <c r="G285" s="9" t="s">
        <v>313</v>
      </c>
      <c r="H285" s="9" t="s">
        <v>314</v>
      </c>
      <c r="I285" s="9" t="s">
        <v>315</v>
      </c>
      <c r="J285" s="15">
        <v>30000</v>
      </c>
      <c r="K285" s="15">
        <v>5000</v>
      </c>
    </row>
    <row r="286" spans="1:11">
      <c r="A286" s="9">
        <f t="shared" si="4"/>
        <v>281</v>
      </c>
      <c r="B286" s="16" t="s">
        <v>641</v>
      </c>
      <c r="C286" s="9" t="s">
        <v>53</v>
      </c>
      <c r="D286" s="9" t="s">
        <v>737</v>
      </c>
      <c r="E286" s="9" t="s">
        <v>738</v>
      </c>
      <c r="F286" s="9" t="s">
        <v>738</v>
      </c>
      <c r="G286" s="9" t="s">
        <v>650</v>
      </c>
      <c r="H286" s="9" t="s">
        <v>651</v>
      </c>
      <c r="I286" s="9" t="s">
        <v>652</v>
      </c>
      <c r="J286" s="15">
        <v>870000</v>
      </c>
      <c r="K286" s="15">
        <v>145000</v>
      </c>
    </row>
    <row r="287" spans="1:11">
      <c r="A287" s="9">
        <f t="shared" si="4"/>
        <v>282</v>
      </c>
      <c r="B287" s="16" t="s">
        <v>641</v>
      </c>
      <c r="C287" s="9" t="s">
        <v>53</v>
      </c>
      <c r="D287" s="9" t="s">
        <v>707</v>
      </c>
      <c r="E287" s="9" t="s">
        <v>739</v>
      </c>
      <c r="F287" s="9" t="s">
        <v>739</v>
      </c>
      <c r="G287" s="9" t="s">
        <v>740</v>
      </c>
      <c r="H287" s="9" t="s">
        <v>36</v>
      </c>
      <c r="I287" s="9" t="s">
        <v>741</v>
      </c>
      <c r="J287" s="15">
        <v>841500</v>
      </c>
      <c r="K287" s="15">
        <v>140250</v>
      </c>
    </row>
    <row r="288" spans="1:11">
      <c r="A288" s="9">
        <f t="shared" si="4"/>
        <v>283</v>
      </c>
      <c r="B288" s="16" t="s">
        <v>641</v>
      </c>
      <c r="C288" s="9" t="s">
        <v>53</v>
      </c>
      <c r="D288" s="9" t="s">
        <v>742</v>
      </c>
      <c r="E288" s="9" t="s">
        <v>739</v>
      </c>
      <c r="F288" s="9" t="s">
        <v>739</v>
      </c>
      <c r="G288" s="9" t="s">
        <v>644</v>
      </c>
      <c r="H288" s="9" t="s">
        <v>344</v>
      </c>
      <c r="I288" s="9" t="s">
        <v>645</v>
      </c>
      <c r="J288" s="15">
        <v>35000</v>
      </c>
      <c r="K288" s="15">
        <v>5833.33</v>
      </c>
    </row>
    <row r="289" spans="1:11">
      <c r="A289" s="9">
        <f t="shared" si="4"/>
        <v>284</v>
      </c>
      <c r="B289" s="16" t="s">
        <v>641</v>
      </c>
      <c r="C289" s="9" t="s">
        <v>53</v>
      </c>
      <c r="D289" s="9" t="s">
        <v>743</v>
      </c>
      <c r="E289" s="9" t="s">
        <v>744</v>
      </c>
      <c r="F289" s="9" t="s">
        <v>744</v>
      </c>
      <c r="G289" s="9" t="s">
        <v>745</v>
      </c>
      <c r="H289" s="9" t="s">
        <v>746</v>
      </c>
      <c r="I289" s="9" t="s">
        <v>747</v>
      </c>
      <c r="J289" s="15">
        <v>6000</v>
      </c>
      <c r="K289" s="15">
        <v>1000</v>
      </c>
    </row>
    <row r="290" spans="1:11">
      <c r="A290" s="9">
        <f t="shared" si="4"/>
        <v>285</v>
      </c>
      <c r="B290" s="16" t="s">
        <v>641</v>
      </c>
      <c r="C290" s="9" t="s">
        <v>71</v>
      </c>
      <c r="D290" s="9" t="s">
        <v>107</v>
      </c>
      <c r="E290" s="9" t="s">
        <v>748</v>
      </c>
      <c r="F290" s="9" t="s">
        <v>36</v>
      </c>
      <c r="G290" s="9" t="s">
        <v>74</v>
      </c>
      <c r="H290" s="9" t="s">
        <v>75</v>
      </c>
      <c r="I290" s="9" t="s">
        <v>38</v>
      </c>
      <c r="J290" s="15">
        <v>500</v>
      </c>
      <c r="K290" s="15">
        <v>83.33</v>
      </c>
    </row>
    <row r="291" spans="1:11">
      <c r="A291" s="9">
        <f t="shared" si="4"/>
        <v>286</v>
      </c>
      <c r="B291" s="16" t="s">
        <v>641</v>
      </c>
      <c r="C291" s="9" t="s">
        <v>53</v>
      </c>
      <c r="D291" s="9" t="s">
        <v>749</v>
      </c>
      <c r="E291" s="9" t="s">
        <v>750</v>
      </c>
      <c r="F291" s="9" t="s">
        <v>750</v>
      </c>
      <c r="G291" s="9" t="s">
        <v>102</v>
      </c>
      <c r="H291" s="9" t="s">
        <v>103</v>
      </c>
      <c r="I291" s="9" t="s">
        <v>104</v>
      </c>
      <c r="J291" s="15">
        <v>6632</v>
      </c>
      <c r="K291" s="15">
        <v>1105.33</v>
      </c>
    </row>
    <row r="292" spans="1:11">
      <c r="A292" s="9">
        <f t="shared" si="4"/>
        <v>287</v>
      </c>
      <c r="B292" s="16" t="s">
        <v>641</v>
      </c>
      <c r="C292" s="9" t="s">
        <v>53</v>
      </c>
      <c r="D292" s="9" t="s">
        <v>646</v>
      </c>
      <c r="E292" s="9" t="s">
        <v>750</v>
      </c>
      <c r="F292" s="9" t="s">
        <v>750</v>
      </c>
      <c r="G292" s="9" t="s">
        <v>733</v>
      </c>
      <c r="H292" s="9" t="s">
        <v>36</v>
      </c>
      <c r="I292" s="9" t="s">
        <v>734</v>
      </c>
      <c r="J292" s="15">
        <v>705259</v>
      </c>
      <c r="K292" s="15">
        <v>117543.17</v>
      </c>
    </row>
    <row r="293" spans="1:11">
      <c r="A293" s="9">
        <f t="shared" si="4"/>
        <v>288</v>
      </c>
      <c r="B293" s="16" t="s">
        <v>641</v>
      </c>
      <c r="C293" s="9" t="s">
        <v>53</v>
      </c>
      <c r="D293" s="9" t="s">
        <v>236</v>
      </c>
      <c r="E293" s="9" t="s">
        <v>751</v>
      </c>
      <c r="F293" s="9" t="s">
        <v>751</v>
      </c>
      <c r="G293" s="9" t="s">
        <v>740</v>
      </c>
      <c r="H293" s="9" t="s">
        <v>36</v>
      </c>
      <c r="I293" s="9" t="s">
        <v>741</v>
      </c>
      <c r="J293" s="15">
        <v>360000</v>
      </c>
      <c r="K293" s="15">
        <v>60000</v>
      </c>
    </row>
    <row r="294" spans="1:11">
      <c r="A294" s="9">
        <f t="shared" si="4"/>
        <v>289</v>
      </c>
      <c r="B294" s="16" t="s">
        <v>641</v>
      </c>
      <c r="C294" s="9" t="s">
        <v>53</v>
      </c>
      <c r="D294" s="9" t="s">
        <v>752</v>
      </c>
      <c r="E294" s="9" t="s">
        <v>753</v>
      </c>
      <c r="F294" s="9" t="s">
        <v>753</v>
      </c>
      <c r="G294" s="9" t="s">
        <v>313</v>
      </c>
      <c r="H294" s="9" t="s">
        <v>314</v>
      </c>
      <c r="I294" s="9" t="s">
        <v>315</v>
      </c>
      <c r="J294" s="15">
        <v>30000</v>
      </c>
      <c r="K294" s="15">
        <v>5000</v>
      </c>
    </row>
    <row r="295" spans="1:11">
      <c r="A295" s="9">
        <f t="shared" si="4"/>
        <v>290</v>
      </c>
      <c r="B295" s="16" t="s">
        <v>641</v>
      </c>
      <c r="C295" s="9" t="s">
        <v>53</v>
      </c>
      <c r="D295" s="9" t="s">
        <v>754</v>
      </c>
      <c r="E295" s="9" t="s">
        <v>753</v>
      </c>
      <c r="F295" s="9" t="s">
        <v>753</v>
      </c>
      <c r="G295" s="9" t="s">
        <v>479</v>
      </c>
      <c r="H295" s="9" t="s">
        <v>327</v>
      </c>
      <c r="I295" s="9" t="s">
        <v>480</v>
      </c>
      <c r="J295" s="15">
        <v>28000</v>
      </c>
      <c r="K295" s="15">
        <v>4666.67</v>
      </c>
    </row>
    <row r="296" spans="1:11">
      <c r="A296" s="9">
        <f t="shared" si="4"/>
        <v>291</v>
      </c>
      <c r="B296" s="16" t="s">
        <v>641</v>
      </c>
      <c r="C296" s="9" t="s">
        <v>53</v>
      </c>
      <c r="D296" s="9" t="s">
        <v>755</v>
      </c>
      <c r="E296" s="9" t="s">
        <v>756</v>
      </c>
      <c r="F296" s="9" t="s">
        <v>756</v>
      </c>
      <c r="G296" s="9" t="s">
        <v>757</v>
      </c>
      <c r="H296" s="9" t="s">
        <v>758</v>
      </c>
      <c r="I296" s="9" t="s">
        <v>759</v>
      </c>
      <c r="J296" s="15">
        <v>539280</v>
      </c>
      <c r="K296" s="15">
        <v>89880</v>
      </c>
    </row>
    <row r="297" spans="1:11">
      <c r="A297" s="9">
        <f t="shared" si="4"/>
        <v>292</v>
      </c>
      <c r="B297" s="16" t="s">
        <v>641</v>
      </c>
      <c r="C297" s="9" t="s">
        <v>53</v>
      </c>
      <c r="D297" s="9" t="s">
        <v>509</v>
      </c>
      <c r="E297" s="9" t="s">
        <v>756</v>
      </c>
      <c r="F297" s="9" t="s">
        <v>756</v>
      </c>
      <c r="G297" s="9" t="s">
        <v>760</v>
      </c>
      <c r="H297" s="9" t="s">
        <v>525</v>
      </c>
      <c r="I297" s="9" t="s">
        <v>761</v>
      </c>
      <c r="J297" s="15">
        <v>25000</v>
      </c>
      <c r="K297" s="15">
        <v>4166.67</v>
      </c>
    </row>
    <row r="298" spans="1:11" ht="30">
      <c r="A298" s="9">
        <f t="shared" si="4"/>
        <v>293</v>
      </c>
      <c r="B298" s="16" t="s">
        <v>641</v>
      </c>
      <c r="C298" s="9" t="s">
        <v>53</v>
      </c>
      <c r="D298" s="9" t="s">
        <v>762</v>
      </c>
      <c r="E298" s="9" t="s">
        <v>763</v>
      </c>
      <c r="F298" s="9" t="s">
        <v>763</v>
      </c>
      <c r="G298" s="9" t="s">
        <v>529</v>
      </c>
      <c r="H298" s="9" t="s">
        <v>36</v>
      </c>
      <c r="I298" s="9" t="s">
        <v>530</v>
      </c>
      <c r="J298" s="15">
        <v>432352</v>
      </c>
      <c r="K298" s="15">
        <v>72058.67</v>
      </c>
    </row>
    <row r="299" spans="1:11">
      <c r="A299" s="9">
        <f t="shared" si="4"/>
        <v>294</v>
      </c>
      <c r="B299" s="16" t="s">
        <v>641</v>
      </c>
      <c r="C299" s="9" t="s">
        <v>53</v>
      </c>
      <c r="D299" s="9" t="s">
        <v>764</v>
      </c>
      <c r="E299" s="9" t="s">
        <v>765</v>
      </c>
      <c r="F299" s="9" t="s">
        <v>765</v>
      </c>
      <c r="G299" s="9" t="s">
        <v>650</v>
      </c>
      <c r="H299" s="9" t="s">
        <v>651</v>
      </c>
      <c r="I299" s="9" t="s">
        <v>652</v>
      </c>
      <c r="J299" s="15">
        <v>1686750</v>
      </c>
      <c r="K299" s="15">
        <v>281125</v>
      </c>
    </row>
    <row r="300" spans="1:11">
      <c r="A300" s="9">
        <f t="shared" si="4"/>
        <v>295</v>
      </c>
      <c r="B300" s="16" t="s">
        <v>641</v>
      </c>
      <c r="C300" s="9" t="s">
        <v>53</v>
      </c>
      <c r="D300" s="9" t="s">
        <v>766</v>
      </c>
      <c r="E300" s="9" t="s">
        <v>767</v>
      </c>
      <c r="F300" s="9" t="s">
        <v>767</v>
      </c>
      <c r="G300" s="9" t="s">
        <v>158</v>
      </c>
      <c r="H300" s="9" t="s">
        <v>159</v>
      </c>
      <c r="I300" s="9" t="s">
        <v>160</v>
      </c>
      <c r="J300" s="15">
        <v>40000</v>
      </c>
      <c r="K300" s="15">
        <v>6666.67</v>
      </c>
    </row>
    <row r="301" spans="1:11">
      <c r="A301" s="9">
        <f t="shared" si="4"/>
        <v>296</v>
      </c>
      <c r="B301" s="16" t="s">
        <v>641</v>
      </c>
      <c r="C301" s="9" t="s">
        <v>71</v>
      </c>
      <c r="D301" s="9" t="s">
        <v>768</v>
      </c>
      <c r="E301" s="9" t="s">
        <v>470</v>
      </c>
      <c r="F301" s="9" t="s">
        <v>36</v>
      </c>
      <c r="G301" s="9" t="s">
        <v>74</v>
      </c>
      <c r="H301" s="9" t="s">
        <v>75</v>
      </c>
      <c r="I301" s="9" t="s">
        <v>38</v>
      </c>
      <c r="J301" s="15">
        <v>37655</v>
      </c>
      <c r="K301" s="15">
        <v>6275.83</v>
      </c>
    </row>
    <row r="302" spans="1:11">
      <c r="A302" s="9">
        <f t="shared" si="4"/>
        <v>297</v>
      </c>
      <c r="B302" s="16" t="s">
        <v>641</v>
      </c>
      <c r="C302" s="9" t="s">
        <v>53</v>
      </c>
      <c r="D302" s="9" t="s">
        <v>769</v>
      </c>
      <c r="E302" s="9" t="s">
        <v>767</v>
      </c>
      <c r="F302" s="9" t="s">
        <v>767</v>
      </c>
      <c r="G302" s="9" t="s">
        <v>733</v>
      </c>
      <c r="H302" s="9" t="s">
        <v>36</v>
      </c>
      <c r="I302" s="9" t="s">
        <v>734</v>
      </c>
      <c r="J302" s="15">
        <v>227800</v>
      </c>
      <c r="K302" s="15">
        <v>37966.67</v>
      </c>
    </row>
    <row r="303" spans="1:11">
      <c r="A303" s="9">
        <f t="shared" si="4"/>
        <v>298</v>
      </c>
      <c r="B303" s="16" t="s">
        <v>770</v>
      </c>
      <c r="C303" s="9" t="s">
        <v>71</v>
      </c>
      <c r="D303" s="9" t="s">
        <v>203</v>
      </c>
      <c r="E303" s="9" t="s">
        <v>771</v>
      </c>
      <c r="F303" s="9" t="s">
        <v>36</v>
      </c>
      <c r="G303" s="9" t="s">
        <v>74</v>
      </c>
      <c r="H303" s="9" t="s">
        <v>75</v>
      </c>
      <c r="I303" s="9" t="s">
        <v>38</v>
      </c>
      <c r="J303" s="15">
        <v>248000</v>
      </c>
      <c r="K303" s="15">
        <v>41333.33</v>
      </c>
    </row>
    <row r="304" spans="1:11">
      <c r="A304" s="9">
        <f t="shared" si="4"/>
        <v>299</v>
      </c>
      <c r="B304" s="16" t="s">
        <v>770</v>
      </c>
      <c r="C304" s="9" t="s">
        <v>53</v>
      </c>
      <c r="D304" s="9" t="s">
        <v>772</v>
      </c>
      <c r="E304" s="9" t="s">
        <v>773</v>
      </c>
      <c r="F304" s="9" t="s">
        <v>773</v>
      </c>
      <c r="G304" s="9" t="s">
        <v>102</v>
      </c>
      <c r="H304" s="9" t="s">
        <v>103</v>
      </c>
      <c r="I304" s="9" t="s">
        <v>104</v>
      </c>
      <c r="J304" s="15">
        <v>1687</v>
      </c>
      <c r="K304" s="15">
        <v>281.17</v>
      </c>
    </row>
    <row r="305" spans="1:11">
      <c r="A305" s="9">
        <f t="shared" si="4"/>
        <v>300</v>
      </c>
      <c r="B305" s="16" t="s">
        <v>770</v>
      </c>
      <c r="C305" s="9" t="s">
        <v>53</v>
      </c>
      <c r="D305" s="9" t="s">
        <v>260</v>
      </c>
      <c r="E305" s="9" t="s">
        <v>774</v>
      </c>
      <c r="F305" s="9" t="s">
        <v>774</v>
      </c>
      <c r="G305" s="9" t="s">
        <v>436</v>
      </c>
      <c r="H305" s="9" t="s">
        <v>437</v>
      </c>
      <c r="I305" s="9" t="s">
        <v>438</v>
      </c>
      <c r="J305" s="15">
        <v>51400</v>
      </c>
      <c r="K305" s="15">
        <v>8566.67</v>
      </c>
    </row>
    <row r="306" spans="1:11">
      <c r="A306" s="9">
        <f t="shared" si="4"/>
        <v>301</v>
      </c>
      <c r="B306" s="16" t="s">
        <v>770</v>
      </c>
      <c r="C306" s="9" t="s">
        <v>53</v>
      </c>
      <c r="D306" s="9" t="s">
        <v>775</v>
      </c>
      <c r="E306" s="9" t="s">
        <v>776</v>
      </c>
      <c r="F306" s="9" t="s">
        <v>776</v>
      </c>
      <c r="G306" s="9" t="s">
        <v>777</v>
      </c>
      <c r="H306" s="9" t="s">
        <v>778</v>
      </c>
      <c r="I306" s="9" t="s">
        <v>779</v>
      </c>
      <c r="J306" s="15">
        <v>392920</v>
      </c>
      <c r="K306" s="15">
        <v>65486.67</v>
      </c>
    </row>
    <row r="307" spans="1:11">
      <c r="A307" s="9">
        <f t="shared" si="4"/>
        <v>302</v>
      </c>
      <c r="B307" s="16" t="s">
        <v>770</v>
      </c>
      <c r="C307" s="9" t="s">
        <v>53</v>
      </c>
      <c r="D307" s="9" t="s">
        <v>780</v>
      </c>
      <c r="E307" s="9" t="s">
        <v>781</v>
      </c>
      <c r="F307" s="9" t="s">
        <v>781</v>
      </c>
      <c r="G307" s="9" t="s">
        <v>479</v>
      </c>
      <c r="H307" s="9" t="s">
        <v>327</v>
      </c>
      <c r="I307" s="9" t="s">
        <v>480</v>
      </c>
      <c r="J307" s="15">
        <v>28000</v>
      </c>
      <c r="K307" s="15">
        <v>4666.67</v>
      </c>
    </row>
    <row r="308" spans="1:11">
      <c r="A308" s="9">
        <f t="shared" si="4"/>
        <v>303</v>
      </c>
      <c r="B308" s="16" t="s">
        <v>770</v>
      </c>
      <c r="C308" s="9" t="s">
        <v>53</v>
      </c>
      <c r="D308" s="9" t="s">
        <v>782</v>
      </c>
      <c r="E308" s="9" t="s">
        <v>781</v>
      </c>
      <c r="F308" s="9" t="s">
        <v>781</v>
      </c>
      <c r="G308" s="9" t="s">
        <v>326</v>
      </c>
      <c r="H308" s="9" t="s">
        <v>327</v>
      </c>
      <c r="I308" s="9" t="s">
        <v>328</v>
      </c>
      <c r="J308" s="15">
        <v>445983</v>
      </c>
      <c r="K308" s="15">
        <v>74330.5</v>
      </c>
    </row>
    <row r="309" spans="1:11">
      <c r="A309" s="9">
        <f t="shared" si="4"/>
        <v>304</v>
      </c>
      <c r="B309" s="16" t="s">
        <v>770</v>
      </c>
      <c r="C309" s="9" t="s">
        <v>53</v>
      </c>
      <c r="D309" s="9" t="s">
        <v>783</v>
      </c>
      <c r="E309" s="9" t="s">
        <v>784</v>
      </c>
      <c r="F309" s="9" t="s">
        <v>784</v>
      </c>
      <c r="G309" s="9" t="s">
        <v>318</v>
      </c>
      <c r="H309" s="9" t="s">
        <v>319</v>
      </c>
      <c r="I309" s="9" t="s">
        <v>320</v>
      </c>
      <c r="J309" s="15">
        <v>1046</v>
      </c>
      <c r="K309" s="15">
        <v>156.16999999999999</v>
      </c>
    </row>
    <row r="310" spans="1:11">
      <c r="A310" s="9">
        <f t="shared" si="4"/>
        <v>305</v>
      </c>
      <c r="B310" s="16" t="s">
        <v>770</v>
      </c>
      <c r="C310" s="9" t="s">
        <v>53</v>
      </c>
      <c r="D310" s="9" t="s">
        <v>785</v>
      </c>
      <c r="E310" s="9" t="s">
        <v>786</v>
      </c>
      <c r="F310" s="9" t="s">
        <v>786</v>
      </c>
      <c r="G310" s="9" t="s">
        <v>436</v>
      </c>
      <c r="H310" s="9" t="s">
        <v>437</v>
      </c>
      <c r="I310" s="9" t="s">
        <v>438</v>
      </c>
      <c r="J310" s="15">
        <v>60000</v>
      </c>
      <c r="K310" s="15">
        <v>10000</v>
      </c>
    </row>
    <row r="311" spans="1:11">
      <c r="A311" s="9">
        <f t="shared" si="4"/>
        <v>306</v>
      </c>
      <c r="B311" s="16" t="s">
        <v>770</v>
      </c>
      <c r="C311" s="9" t="s">
        <v>53</v>
      </c>
      <c r="D311" s="9" t="s">
        <v>787</v>
      </c>
      <c r="E311" s="9" t="s">
        <v>786</v>
      </c>
      <c r="F311" s="9" t="s">
        <v>786</v>
      </c>
      <c r="G311" s="9" t="s">
        <v>609</v>
      </c>
      <c r="H311" s="9" t="s">
        <v>610</v>
      </c>
      <c r="I311" s="9" t="s">
        <v>611</v>
      </c>
      <c r="J311" s="15">
        <v>487420</v>
      </c>
      <c r="K311" s="15">
        <v>81236.67</v>
      </c>
    </row>
    <row r="312" spans="1:11">
      <c r="A312" s="9">
        <f t="shared" si="4"/>
        <v>307</v>
      </c>
      <c r="B312" s="16" t="s">
        <v>770</v>
      </c>
      <c r="C312" s="9" t="s">
        <v>53</v>
      </c>
      <c r="D312" s="9" t="s">
        <v>788</v>
      </c>
      <c r="E312" s="9" t="s">
        <v>789</v>
      </c>
      <c r="F312" s="9" t="s">
        <v>789</v>
      </c>
      <c r="G312" s="9" t="s">
        <v>313</v>
      </c>
      <c r="H312" s="9" t="s">
        <v>314</v>
      </c>
      <c r="I312" s="9" t="s">
        <v>315</v>
      </c>
      <c r="J312" s="15">
        <v>30000</v>
      </c>
      <c r="K312" s="15">
        <v>5000</v>
      </c>
    </row>
    <row r="313" spans="1:11">
      <c r="A313" s="9">
        <f t="shared" si="4"/>
        <v>308</v>
      </c>
      <c r="B313" s="16" t="s">
        <v>770</v>
      </c>
      <c r="C313" s="9" t="s">
        <v>53</v>
      </c>
      <c r="D313" s="9" t="s">
        <v>177</v>
      </c>
      <c r="E313" s="9" t="s">
        <v>790</v>
      </c>
      <c r="F313" s="9" t="s">
        <v>790</v>
      </c>
      <c r="G313" s="9" t="s">
        <v>791</v>
      </c>
      <c r="H313" s="9" t="s">
        <v>792</v>
      </c>
      <c r="I313" s="9" t="s">
        <v>793</v>
      </c>
      <c r="J313" s="15">
        <v>552720</v>
      </c>
      <c r="K313" s="15">
        <v>92120</v>
      </c>
    </row>
    <row r="314" spans="1:11">
      <c r="A314" s="9">
        <f t="shared" si="4"/>
        <v>309</v>
      </c>
      <c r="B314" s="16" t="s">
        <v>770</v>
      </c>
      <c r="C314" s="9" t="s">
        <v>53</v>
      </c>
      <c r="D314" s="9" t="s">
        <v>794</v>
      </c>
      <c r="E314" s="9" t="s">
        <v>790</v>
      </c>
      <c r="F314" s="9" t="s">
        <v>790</v>
      </c>
      <c r="G314" s="9" t="s">
        <v>795</v>
      </c>
      <c r="H314" s="9" t="s">
        <v>163</v>
      </c>
      <c r="I314" s="9" t="s">
        <v>796</v>
      </c>
      <c r="J314" s="15">
        <v>137424</v>
      </c>
      <c r="K314" s="15">
        <v>22904</v>
      </c>
    </row>
    <row r="315" spans="1:11">
      <c r="A315" s="9">
        <f t="shared" si="4"/>
        <v>310</v>
      </c>
      <c r="B315" s="16" t="s">
        <v>770</v>
      </c>
      <c r="C315" s="9" t="s">
        <v>53</v>
      </c>
      <c r="D315" s="9" t="s">
        <v>797</v>
      </c>
      <c r="E315" s="9" t="s">
        <v>798</v>
      </c>
      <c r="F315" s="9" t="s">
        <v>798</v>
      </c>
      <c r="G315" s="9" t="s">
        <v>684</v>
      </c>
      <c r="H315" s="9" t="s">
        <v>294</v>
      </c>
      <c r="I315" s="9" t="s">
        <v>685</v>
      </c>
      <c r="J315" s="15">
        <v>680000</v>
      </c>
      <c r="K315" s="15">
        <v>113333.33</v>
      </c>
    </row>
    <row r="316" spans="1:11">
      <c r="A316" s="9">
        <f t="shared" si="4"/>
        <v>311</v>
      </c>
      <c r="B316" s="16" t="s">
        <v>770</v>
      </c>
      <c r="C316" s="9" t="s">
        <v>53</v>
      </c>
      <c r="D316" s="9" t="s">
        <v>799</v>
      </c>
      <c r="E316" s="9" t="s">
        <v>798</v>
      </c>
      <c r="F316" s="9" t="s">
        <v>798</v>
      </c>
      <c r="G316" s="9" t="s">
        <v>800</v>
      </c>
      <c r="H316" s="9" t="s">
        <v>540</v>
      </c>
      <c r="I316" s="9" t="s">
        <v>801</v>
      </c>
      <c r="J316" s="15">
        <v>27000</v>
      </c>
      <c r="K316" s="15">
        <v>4500</v>
      </c>
    </row>
    <row r="317" spans="1:11">
      <c r="A317" s="9">
        <f t="shared" si="4"/>
        <v>312</v>
      </c>
      <c r="B317" s="16" t="s">
        <v>770</v>
      </c>
      <c r="C317" s="9" t="s">
        <v>53</v>
      </c>
      <c r="D317" s="9" t="s">
        <v>802</v>
      </c>
      <c r="E317" s="9" t="s">
        <v>523</v>
      </c>
      <c r="F317" s="9" t="s">
        <v>803</v>
      </c>
      <c r="G317" s="9" t="s">
        <v>102</v>
      </c>
      <c r="H317" s="9" t="s">
        <v>103</v>
      </c>
      <c r="I317" s="9" t="s">
        <v>104</v>
      </c>
      <c r="J317" s="15">
        <v>4568</v>
      </c>
      <c r="K317" s="15">
        <v>761.33</v>
      </c>
    </row>
    <row r="318" spans="1:11">
      <c r="A318" s="9">
        <f t="shared" si="4"/>
        <v>313</v>
      </c>
      <c r="B318" s="16" t="s">
        <v>770</v>
      </c>
      <c r="C318" s="9" t="s">
        <v>53</v>
      </c>
      <c r="D318" s="9" t="s">
        <v>804</v>
      </c>
      <c r="E318" s="9" t="s">
        <v>803</v>
      </c>
      <c r="F318" s="9" t="s">
        <v>803</v>
      </c>
      <c r="G318" s="9" t="s">
        <v>318</v>
      </c>
      <c r="H318" s="9" t="s">
        <v>319</v>
      </c>
      <c r="I318" s="9" t="s">
        <v>320</v>
      </c>
      <c r="J318" s="15">
        <v>766</v>
      </c>
      <c r="K318" s="15">
        <v>120.33</v>
      </c>
    </row>
    <row r="319" spans="1:11">
      <c r="A319" s="9">
        <f t="shared" si="4"/>
        <v>314</v>
      </c>
      <c r="B319" s="16" t="s">
        <v>770</v>
      </c>
      <c r="C319" s="9" t="s">
        <v>53</v>
      </c>
      <c r="D319" s="9" t="s">
        <v>805</v>
      </c>
      <c r="E319" s="9" t="s">
        <v>806</v>
      </c>
      <c r="F319" s="9" t="s">
        <v>806</v>
      </c>
      <c r="G319" s="9" t="s">
        <v>609</v>
      </c>
      <c r="H319" s="9" t="s">
        <v>610</v>
      </c>
      <c r="I319" s="9" t="s">
        <v>611</v>
      </c>
      <c r="J319" s="15">
        <v>419430</v>
      </c>
      <c r="K319" s="15">
        <v>69905</v>
      </c>
    </row>
    <row r="320" spans="1:11">
      <c r="A320" s="9">
        <f t="shared" si="4"/>
        <v>315</v>
      </c>
      <c r="B320" s="16" t="s">
        <v>770</v>
      </c>
      <c r="C320" s="9" t="s">
        <v>53</v>
      </c>
      <c r="D320" s="9" t="s">
        <v>807</v>
      </c>
      <c r="E320" s="9" t="s">
        <v>808</v>
      </c>
      <c r="F320" s="9" t="s">
        <v>808</v>
      </c>
      <c r="G320" s="9" t="s">
        <v>809</v>
      </c>
      <c r="H320" s="9" t="s">
        <v>810</v>
      </c>
      <c r="I320" s="9" t="s">
        <v>811</v>
      </c>
      <c r="J320" s="15">
        <v>6930</v>
      </c>
      <c r="K320" s="15">
        <v>1155</v>
      </c>
    </row>
    <row r="321" spans="1:11">
      <c r="A321" s="9">
        <f t="shared" si="4"/>
        <v>316</v>
      </c>
      <c r="B321" s="16" t="s">
        <v>770</v>
      </c>
      <c r="C321" s="9" t="s">
        <v>53</v>
      </c>
      <c r="D321" s="9" t="s">
        <v>812</v>
      </c>
      <c r="E321" s="9" t="s">
        <v>808</v>
      </c>
      <c r="F321" s="9" t="s">
        <v>808</v>
      </c>
      <c r="G321" s="9" t="s">
        <v>102</v>
      </c>
      <c r="H321" s="9" t="s">
        <v>103</v>
      </c>
      <c r="I321" s="9" t="s">
        <v>104</v>
      </c>
      <c r="J321" s="15">
        <v>3440</v>
      </c>
      <c r="K321" s="15">
        <v>573.33000000000004</v>
      </c>
    </row>
    <row r="322" spans="1:11">
      <c r="A322" s="9">
        <f t="shared" si="4"/>
        <v>317</v>
      </c>
      <c r="B322" s="16" t="s">
        <v>770</v>
      </c>
      <c r="C322" s="9" t="s">
        <v>53</v>
      </c>
      <c r="D322" s="9" t="s">
        <v>813</v>
      </c>
      <c r="E322" s="9" t="s">
        <v>814</v>
      </c>
      <c r="F322" s="9" t="s">
        <v>814</v>
      </c>
      <c r="G322" s="9" t="s">
        <v>158</v>
      </c>
      <c r="H322" s="9" t="s">
        <v>159</v>
      </c>
      <c r="I322" s="9" t="s">
        <v>160</v>
      </c>
      <c r="J322" s="15">
        <v>40000</v>
      </c>
      <c r="K322" s="15">
        <v>6666.67</v>
      </c>
    </row>
    <row r="323" spans="1:11">
      <c r="A323" s="9">
        <f t="shared" si="4"/>
        <v>318</v>
      </c>
      <c r="B323" s="16" t="s">
        <v>770</v>
      </c>
      <c r="C323" s="9" t="s">
        <v>53</v>
      </c>
      <c r="D323" s="9" t="s">
        <v>815</v>
      </c>
      <c r="E323" s="9" t="s">
        <v>814</v>
      </c>
      <c r="F323" s="9" t="s">
        <v>814</v>
      </c>
      <c r="G323" s="9" t="s">
        <v>740</v>
      </c>
      <c r="H323" s="9" t="s">
        <v>36</v>
      </c>
      <c r="I323" s="9" t="s">
        <v>741</v>
      </c>
      <c r="J323" s="15">
        <v>1122398.01</v>
      </c>
      <c r="K323" s="15">
        <v>187066.34</v>
      </c>
    </row>
    <row r="324" spans="1:11">
      <c r="A324" s="9">
        <f t="shared" si="4"/>
        <v>319</v>
      </c>
      <c r="B324" s="16" t="s">
        <v>770</v>
      </c>
      <c r="C324" s="9" t="s">
        <v>53</v>
      </c>
      <c r="D324" s="9" t="s">
        <v>816</v>
      </c>
      <c r="E324" s="9" t="s">
        <v>814</v>
      </c>
      <c r="F324" s="9" t="s">
        <v>814</v>
      </c>
      <c r="G324" s="9" t="s">
        <v>313</v>
      </c>
      <c r="H324" s="9" t="s">
        <v>314</v>
      </c>
      <c r="I324" s="9" t="s">
        <v>315</v>
      </c>
      <c r="J324" s="15">
        <v>30000</v>
      </c>
      <c r="K324" s="15">
        <v>5000</v>
      </c>
    </row>
    <row r="325" spans="1:11" ht="30">
      <c r="A325" s="9">
        <f t="shared" si="4"/>
        <v>320</v>
      </c>
      <c r="B325" s="16" t="s">
        <v>770</v>
      </c>
      <c r="C325" s="9" t="s">
        <v>53</v>
      </c>
      <c r="D325" s="9" t="s">
        <v>509</v>
      </c>
      <c r="E325" s="9" t="s">
        <v>817</v>
      </c>
      <c r="F325" s="9" t="s">
        <v>817</v>
      </c>
      <c r="G325" s="9" t="s">
        <v>262</v>
      </c>
      <c r="H325" s="9" t="s">
        <v>263</v>
      </c>
      <c r="I325" s="9" t="s">
        <v>264</v>
      </c>
      <c r="J325" s="15">
        <v>233050</v>
      </c>
      <c r="K325" s="15">
        <v>38841.67</v>
      </c>
    </row>
    <row r="326" spans="1:11">
      <c r="A326" s="9">
        <f t="shared" si="4"/>
        <v>321</v>
      </c>
      <c r="B326" s="16" t="s">
        <v>770</v>
      </c>
      <c r="C326" s="9" t="s">
        <v>53</v>
      </c>
      <c r="D326" s="9" t="s">
        <v>646</v>
      </c>
      <c r="E326" s="9" t="s">
        <v>818</v>
      </c>
      <c r="F326" s="9" t="s">
        <v>818</v>
      </c>
      <c r="G326" s="9" t="s">
        <v>356</v>
      </c>
      <c r="H326" s="9" t="s">
        <v>357</v>
      </c>
      <c r="I326" s="9" t="s">
        <v>358</v>
      </c>
      <c r="J326" s="15">
        <v>757102</v>
      </c>
      <c r="K326" s="15">
        <v>126183.66</v>
      </c>
    </row>
    <row r="327" spans="1:11">
      <c r="A327" s="9">
        <f t="shared" ref="A327:A390" si="5">A326+1</f>
        <v>322</v>
      </c>
      <c r="B327" s="16" t="s">
        <v>770</v>
      </c>
      <c r="C327" s="9" t="s">
        <v>53</v>
      </c>
      <c r="D327" s="9" t="s">
        <v>819</v>
      </c>
      <c r="E327" s="9" t="s">
        <v>818</v>
      </c>
      <c r="F327" s="9" t="s">
        <v>818</v>
      </c>
      <c r="G327" s="9" t="s">
        <v>777</v>
      </c>
      <c r="H327" s="9" t="s">
        <v>778</v>
      </c>
      <c r="I327" s="9" t="s">
        <v>779</v>
      </c>
      <c r="J327" s="15">
        <v>350400</v>
      </c>
      <c r="K327" s="15">
        <v>58400</v>
      </c>
    </row>
    <row r="328" spans="1:11">
      <c r="A328" s="9">
        <f t="shared" si="5"/>
        <v>323</v>
      </c>
      <c r="B328" s="16" t="s">
        <v>770</v>
      </c>
      <c r="C328" s="9" t="s">
        <v>53</v>
      </c>
      <c r="D328" s="9" t="s">
        <v>820</v>
      </c>
      <c r="E328" s="9" t="s">
        <v>821</v>
      </c>
      <c r="F328" s="9" t="s">
        <v>821</v>
      </c>
      <c r="G328" s="9" t="s">
        <v>740</v>
      </c>
      <c r="H328" s="9" t="s">
        <v>36</v>
      </c>
      <c r="I328" s="9" t="s">
        <v>741</v>
      </c>
      <c r="J328" s="15">
        <v>863440</v>
      </c>
      <c r="K328" s="15">
        <v>143906.67000000001</v>
      </c>
    </row>
    <row r="329" spans="1:11">
      <c r="A329" s="9">
        <f t="shared" si="5"/>
        <v>324</v>
      </c>
      <c r="B329" s="16" t="s">
        <v>770</v>
      </c>
      <c r="C329" s="9" t="s">
        <v>53</v>
      </c>
      <c r="D329" s="9" t="s">
        <v>822</v>
      </c>
      <c r="E329" s="9" t="s">
        <v>821</v>
      </c>
      <c r="F329" s="9" t="s">
        <v>821</v>
      </c>
      <c r="G329" s="9" t="s">
        <v>609</v>
      </c>
      <c r="H329" s="9" t="s">
        <v>610</v>
      </c>
      <c r="I329" s="9" t="s">
        <v>611</v>
      </c>
      <c r="J329" s="15">
        <v>455880</v>
      </c>
      <c r="K329" s="15">
        <v>75980</v>
      </c>
    </row>
    <row r="330" spans="1:11">
      <c r="A330" s="9">
        <f t="shared" si="5"/>
        <v>325</v>
      </c>
      <c r="B330" s="16" t="s">
        <v>770</v>
      </c>
      <c r="C330" s="9" t="s">
        <v>53</v>
      </c>
      <c r="D330" s="9" t="s">
        <v>823</v>
      </c>
      <c r="E330" s="9" t="s">
        <v>821</v>
      </c>
      <c r="F330" s="9" t="s">
        <v>821</v>
      </c>
      <c r="G330" s="9" t="s">
        <v>824</v>
      </c>
      <c r="H330" s="9" t="s">
        <v>75</v>
      </c>
      <c r="I330" s="9" t="s">
        <v>825</v>
      </c>
      <c r="J330" s="15">
        <v>33587.75</v>
      </c>
      <c r="K330" s="15">
        <v>5597.96</v>
      </c>
    </row>
    <row r="331" spans="1:11">
      <c r="A331" s="9">
        <f t="shared" si="5"/>
        <v>326</v>
      </c>
      <c r="B331" s="16" t="s">
        <v>770</v>
      </c>
      <c r="C331" s="9" t="s">
        <v>53</v>
      </c>
      <c r="D331" s="9" t="s">
        <v>182</v>
      </c>
      <c r="E331" s="9" t="s">
        <v>826</v>
      </c>
      <c r="F331" s="9" t="s">
        <v>826</v>
      </c>
      <c r="G331" s="9" t="s">
        <v>740</v>
      </c>
      <c r="H331" s="9" t="s">
        <v>36</v>
      </c>
      <c r="I331" s="9" t="s">
        <v>741</v>
      </c>
      <c r="J331" s="15">
        <v>710000</v>
      </c>
      <c r="K331" s="15">
        <v>118333.33</v>
      </c>
    </row>
    <row r="332" spans="1:11">
      <c r="A332" s="9">
        <f t="shared" si="5"/>
        <v>327</v>
      </c>
      <c r="B332" s="16" t="s">
        <v>770</v>
      </c>
      <c r="C332" s="9" t="s">
        <v>53</v>
      </c>
      <c r="D332" s="9" t="s">
        <v>827</v>
      </c>
      <c r="E332" s="9" t="s">
        <v>826</v>
      </c>
      <c r="F332" s="9" t="s">
        <v>826</v>
      </c>
      <c r="G332" s="9" t="s">
        <v>828</v>
      </c>
      <c r="H332" s="9" t="s">
        <v>75</v>
      </c>
      <c r="I332" s="9" t="s">
        <v>829</v>
      </c>
      <c r="J332" s="15">
        <v>18046.099999999999</v>
      </c>
      <c r="K332" s="15">
        <v>3007.68</v>
      </c>
    </row>
    <row r="333" spans="1:11">
      <c r="A333" s="9">
        <f t="shared" si="5"/>
        <v>328</v>
      </c>
      <c r="B333" s="16" t="s">
        <v>770</v>
      </c>
      <c r="C333" s="9" t="s">
        <v>53</v>
      </c>
      <c r="D333" s="9" t="s">
        <v>830</v>
      </c>
      <c r="E333" s="9" t="s">
        <v>831</v>
      </c>
      <c r="F333" s="9" t="s">
        <v>831</v>
      </c>
      <c r="G333" s="9" t="s">
        <v>832</v>
      </c>
      <c r="H333" s="9" t="s">
        <v>833</v>
      </c>
      <c r="I333" s="9" t="s">
        <v>834</v>
      </c>
      <c r="J333" s="15">
        <v>62000</v>
      </c>
      <c r="K333" s="15">
        <v>10333.33</v>
      </c>
    </row>
    <row r="334" spans="1:11">
      <c r="A334" s="9">
        <f t="shared" si="5"/>
        <v>329</v>
      </c>
      <c r="B334" s="16" t="s">
        <v>770</v>
      </c>
      <c r="C334" s="9" t="s">
        <v>53</v>
      </c>
      <c r="D334" s="9" t="s">
        <v>835</v>
      </c>
      <c r="E334" s="9" t="s">
        <v>831</v>
      </c>
      <c r="F334" s="9" t="s">
        <v>831</v>
      </c>
      <c r="G334" s="9" t="s">
        <v>436</v>
      </c>
      <c r="H334" s="9" t="s">
        <v>437</v>
      </c>
      <c r="I334" s="9" t="s">
        <v>438</v>
      </c>
      <c r="J334" s="15">
        <v>59080</v>
      </c>
      <c r="K334" s="15">
        <v>9846.67</v>
      </c>
    </row>
    <row r="335" spans="1:11">
      <c r="A335" s="9">
        <f t="shared" si="5"/>
        <v>330</v>
      </c>
      <c r="B335" s="16" t="s">
        <v>770</v>
      </c>
      <c r="C335" s="9" t="s">
        <v>53</v>
      </c>
      <c r="D335" s="9" t="s">
        <v>836</v>
      </c>
      <c r="E335" s="9" t="s">
        <v>837</v>
      </c>
      <c r="F335" s="9" t="s">
        <v>837</v>
      </c>
      <c r="G335" s="9" t="s">
        <v>609</v>
      </c>
      <c r="H335" s="9" t="s">
        <v>610</v>
      </c>
      <c r="I335" s="9" t="s">
        <v>611</v>
      </c>
      <c r="J335" s="15">
        <v>616400</v>
      </c>
      <c r="K335" s="15">
        <v>102733.33</v>
      </c>
    </row>
    <row r="336" spans="1:11">
      <c r="A336" s="9">
        <f t="shared" si="5"/>
        <v>331</v>
      </c>
      <c r="B336" s="16" t="s">
        <v>770</v>
      </c>
      <c r="C336" s="9" t="s">
        <v>53</v>
      </c>
      <c r="D336" s="9" t="s">
        <v>838</v>
      </c>
      <c r="E336" s="9" t="s">
        <v>839</v>
      </c>
      <c r="F336" s="9" t="s">
        <v>839</v>
      </c>
      <c r="G336" s="9" t="s">
        <v>840</v>
      </c>
      <c r="H336" s="9" t="s">
        <v>319</v>
      </c>
      <c r="I336" s="9" t="s">
        <v>841</v>
      </c>
      <c r="J336" s="15">
        <v>27459.23</v>
      </c>
      <c r="K336" s="15">
        <v>4576.54</v>
      </c>
    </row>
    <row r="337" spans="1:11">
      <c r="A337" s="9">
        <f t="shared" si="5"/>
        <v>332</v>
      </c>
      <c r="B337" s="16" t="s">
        <v>770</v>
      </c>
      <c r="C337" s="9" t="s">
        <v>53</v>
      </c>
      <c r="D337" s="9" t="s">
        <v>842</v>
      </c>
      <c r="E337" s="9" t="s">
        <v>843</v>
      </c>
      <c r="F337" s="9" t="s">
        <v>843</v>
      </c>
      <c r="G337" s="9" t="s">
        <v>318</v>
      </c>
      <c r="H337" s="9" t="s">
        <v>319</v>
      </c>
      <c r="I337" s="9" t="s">
        <v>320</v>
      </c>
      <c r="J337" s="15">
        <v>4482</v>
      </c>
      <c r="K337" s="15">
        <v>667.5</v>
      </c>
    </row>
    <row r="338" spans="1:11">
      <c r="A338" s="9">
        <f t="shared" si="5"/>
        <v>333</v>
      </c>
      <c r="B338" s="16" t="s">
        <v>770</v>
      </c>
      <c r="C338" s="9" t="s">
        <v>53</v>
      </c>
      <c r="D338" s="9" t="s">
        <v>844</v>
      </c>
      <c r="E338" s="9" t="s">
        <v>845</v>
      </c>
      <c r="F338" s="9" t="s">
        <v>845</v>
      </c>
      <c r="G338" s="9" t="s">
        <v>158</v>
      </c>
      <c r="H338" s="9" t="s">
        <v>159</v>
      </c>
      <c r="I338" s="9" t="s">
        <v>160</v>
      </c>
      <c r="J338" s="15">
        <v>40000</v>
      </c>
      <c r="K338" s="15">
        <v>6666.67</v>
      </c>
    </row>
    <row r="339" spans="1:11">
      <c r="A339" s="9">
        <f t="shared" si="5"/>
        <v>334</v>
      </c>
      <c r="B339" s="16" t="s">
        <v>770</v>
      </c>
      <c r="C339" s="9" t="s">
        <v>53</v>
      </c>
      <c r="D339" s="9" t="s">
        <v>846</v>
      </c>
      <c r="E339" s="9" t="s">
        <v>847</v>
      </c>
      <c r="F339" s="9" t="s">
        <v>847</v>
      </c>
      <c r="G339" s="9" t="s">
        <v>777</v>
      </c>
      <c r="H339" s="9" t="s">
        <v>778</v>
      </c>
      <c r="I339" s="9" t="s">
        <v>779</v>
      </c>
      <c r="J339" s="15">
        <v>545760</v>
      </c>
      <c r="K339" s="15">
        <v>90960</v>
      </c>
    </row>
    <row r="340" spans="1:11">
      <c r="A340" s="9">
        <f t="shared" si="5"/>
        <v>335</v>
      </c>
      <c r="B340" s="16" t="s">
        <v>770</v>
      </c>
      <c r="C340" s="9" t="s">
        <v>53</v>
      </c>
      <c r="D340" s="9" t="s">
        <v>848</v>
      </c>
      <c r="E340" s="9" t="s">
        <v>849</v>
      </c>
      <c r="F340" s="9" t="s">
        <v>849</v>
      </c>
      <c r="G340" s="9" t="s">
        <v>102</v>
      </c>
      <c r="H340" s="9" t="s">
        <v>103</v>
      </c>
      <c r="I340" s="9" t="s">
        <v>104</v>
      </c>
      <c r="J340" s="15">
        <v>5140</v>
      </c>
      <c r="K340" s="15">
        <v>856.66</v>
      </c>
    </row>
    <row r="341" spans="1:11">
      <c r="A341" s="9">
        <f t="shared" si="5"/>
        <v>336</v>
      </c>
      <c r="B341" s="16" t="s">
        <v>770</v>
      </c>
      <c r="C341" s="9" t="s">
        <v>53</v>
      </c>
      <c r="D341" s="9" t="s">
        <v>850</v>
      </c>
      <c r="E341" s="9" t="s">
        <v>849</v>
      </c>
      <c r="F341" s="9" t="s">
        <v>849</v>
      </c>
      <c r="G341" s="9" t="s">
        <v>828</v>
      </c>
      <c r="H341" s="9" t="s">
        <v>75</v>
      </c>
      <c r="I341" s="9" t="s">
        <v>829</v>
      </c>
      <c r="J341" s="15">
        <v>37444.5</v>
      </c>
      <c r="K341" s="15">
        <v>6240.75</v>
      </c>
    </row>
    <row r="342" spans="1:11">
      <c r="A342" s="9">
        <f t="shared" si="5"/>
        <v>337</v>
      </c>
      <c r="B342" s="16" t="s">
        <v>770</v>
      </c>
      <c r="C342" s="9" t="s">
        <v>53</v>
      </c>
      <c r="D342" s="9" t="s">
        <v>851</v>
      </c>
      <c r="E342" s="9" t="s">
        <v>852</v>
      </c>
      <c r="F342" s="9" t="s">
        <v>852</v>
      </c>
      <c r="G342" s="9" t="s">
        <v>609</v>
      </c>
      <c r="H342" s="9" t="s">
        <v>610</v>
      </c>
      <c r="I342" s="9" t="s">
        <v>611</v>
      </c>
      <c r="J342" s="15">
        <v>398100</v>
      </c>
      <c r="K342" s="15">
        <v>66350</v>
      </c>
    </row>
    <row r="343" spans="1:11">
      <c r="A343" s="9">
        <f t="shared" si="5"/>
        <v>338</v>
      </c>
      <c r="B343" s="16" t="s">
        <v>770</v>
      </c>
      <c r="C343" s="9" t="s">
        <v>53</v>
      </c>
      <c r="D343" s="9" t="s">
        <v>853</v>
      </c>
      <c r="E343" s="9" t="s">
        <v>852</v>
      </c>
      <c r="F343" s="9" t="s">
        <v>852</v>
      </c>
      <c r="G343" s="9" t="s">
        <v>650</v>
      </c>
      <c r="H343" s="9" t="s">
        <v>651</v>
      </c>
      <c r="I343" s="9" t="s">
        <v>652</v>
      </c>
      <c r="J343" s="15">
        <v>661810</v>
      </c>
      <c r="K343" s="15">
        <v>110301.67</v>
      </c>
    </row>
    <row r="344" spans="1:11">
      <c r="A344" s="9">
        <f t="shared" si="5"/>
        <v>339</v>
      </c>
      <c r="B344" s="16" t="s">
        <v>770</v>
      </c>
      <c r="C344" s="9" t="s">
        <v>53</v>
      </c>
      <c r="D344" s="9" t="s">
        <v>854</v>
      </c>
      <c r="E344" s="9" t="s">
        <v>852</v>
      </c>
      <c r="F344" s="9" t="s">
        <v>852</v>
      </c>
      <c r="G344" s="9" t="s">
        <v>650</v>
      </c>
      <c r="H344" s="9" t="s">
        <v>651</v>
      </c>
      <c r="I344" s="9" t="s">
        <v>652</v>
      </c>
      <c r="J344" s="15">
        <v>41625</v>
      </c>
      <c r="K344" s="15">
        <v>6937.5</v>
      </c>
    </row>
    <row r="345" spans="1:11">
      <c r="A345" s="9">
        <f t="shared" si="5"/>
        <v>340</v>
      </c>
      <c r="B345" s="16" t="s">
        <v>770</v>
      </c>
      <c r="C345" s="9" t="s">
        <v>53</v>
      </c>
      <c r="D345" s="9" t="s">
        <v>855</v>
      </c>
      <c r="E345" s="9" t="s">
        <v>852</v>
      </c>
      <c r="F345" s="9" t="s">
        <v>852</v>
      </c>
      <c r="G345" s="9" t="s">
        <v>760</v>
      </c>
      <c r="H345" s="9" t="s">
        <v>525</v>
      </c>
      <c r="I345" s="9" t="s">
        <v>761</v>
      </c>
      <c r="J345" s="15">
        <v>24000</v>
      </c>
      <c r="K345" s="15">
        <v>4000</v>
      </c>
    </row>
    <row r="346" spans="1:11">
      <c r="A346" s="9">
        <f t="shared" si="5"/>
        <v>341</v>
      </c>
      <c r="B346" s="16" t="s">
        <v>770</v>
      </c>
      <c r="C346" s="9" t="s">
        <v>53</v>
      </c>
      <c r="D346" s="9" t="s">
        <v>856</v>
      </c>
      <c r="E346" s="9" t="s">
        <v>857</v>
      </c>
      <c r="F346" s="9" t="s">
        <v>857</v>
      </c>
      <c r="G346" s="9" t="s">
        <v>609</v>
      </c>
      <c r="H346" s="9" t="s">
        <v>610</v>
      </c>
      <c r="I346" s="9" t="s">
        <v>611</v>
      </c>
      <c r="J346" s="15">
        <v>377738</v>
      </c>
      <c r="K346" s="15">
        <v>62956.33</v>
      </c>
    </row>
    <row r="347" spans="1:11">
      <c r="A347" s="9">
        <f t="shared" si="5"/>
        <v>342</v>
      </c>
      <c r="B347" s="16" t="s">
        <v>770</v>
      </c>
      <c r="C347" s="9" t="s">
        <v>53</v>
      </c>
      <c r="D347" s="9" t="s">
        <v>858</v>
      </c>
      <c r="E347" s="9" t="s">
        <v>857</v>
      </c>
      <c r="F347" s="9" t="s">
        <v>857</v>
      </c>
      <c r="G347" s="9" t="s">
        <v>733</v>
      </c>
      <c r="H347" s="9" t="s">
        <v>36</v>
      </c>
      <c r="I347" s="9" t="s">
        <v>734</v>
      </c>
      <c r="J347" s="15">
        <v>1624320</v>
      </c>
      <c r="K347" s="15">
        <v>270720</v>
      </c>
    </row>
    <row r="348" spans="1:11">
      <c r="A348" s="9">
        <f t="shared" si="5"/>
        <v>343</v>
      </c>
      <c r="B348" s="16" t="s">
        <v>770</v>
      </c>
      <c r="C348" s="9" t="s">
        <v>53</v>
      </c>
      <c r="D348" s="9" t="s">
        <v>859</v>
      </c>
      <c r="E348" s="9" t="s">
        <v>860</v>
      </c>
      <c r="F348" s="9" t="s">
        <v>860</v>
      </c>
      <c r="G348" s="9" t="s">
        <v>304</v>
      </c>
      <c r="H348" s="9" t="s">
        <v>294</v>
      </c>
      <c r="I348" s="9" t="s">
        <v>305</v>
      </c>
      <c r="J348" s="15">
        <v>24400</v>
      </c>
      <c r="K348" s="15">
        <v>4066.66</v>
      </c>
    </row>
    <row r="349" spans="1:11" ht="30">
      <c r="A349" s="9">
        <f t="shared" si="5"/>
        <v>344</v>
      </c>
      <c r="B349" s="16" t="s">
        <v>770</v>
      </c>
      <c r="C349" s="9" t="s">
        <v>53</v>
      </c>
      <c r="D349" s="9" t="s">
        <v>861</v>
      </c>
      <c r="E349" s="9" t="s">
        <v>862</v>
      </c>
      <c r="F349" s="9" t="s">
        <v>862</v>
      </c>
      <c r="G349" s="9" t="s">
        <v>863</v>
      </c>
      <c r="H349" s="9" t="s">
        <v>864</v>
      </c>
      <c r="I349" s="9" t="s">
        <v>865</v>
      </c>
      <c r="J349" s="15">
        <v>5090</v>
      </c>
      <c r="K349" s="15">
        <v>848.33</v>
      </c>
    </row>
    <row r="350" spans="1:11" ht="30">
      <c r="A350" s="9">
        <f t="shared" si="5"/>
        <v>345</v>
      </c>
      <c r="B350" s="16" t="s">
        <v>770</v>
      </c>
      <c r="C350" s="9" t="s">
        <v>53</v>
      </c>
      <c r="D350" s="9" t="s">
        <v>861</v>
      </c>
      <c r="E350" s="9" t="s">
        <v>862</v>
      </c>
      <c r="F350" s="9" t="s">
        <v>862</v>
      </c>
      <c r="G350" s="9" t="s">
        <v>863</v>
      </c>
      <c r="H350" s="9" t="s">
        <v>864</v>
      </c>
      <c r="I350" s="9" t="s">
        <v>865</v>
      </c>
      <c r="J350" s="15">
        <v>5090</v>
      </c>
      <c r="K350" s="15">
        <v>848.33</v>
      </c>
    </row>
    <row r="351" spans="1:11">
      <c r="A351" s="9">
        <f t="shared" si="5"/>
        <v>346</v>
      </c>
      <c r="B351" s="16" t="s">
        <v>770</v>
      </c>
      <c r="C351" s="9" t="s">
        <v>53</v>
      </c>
      <c r="D351" s="9" t="s">
        <v>866</v>
      </c>
      <c r="E351" s="9" t="s">
        <v>867</v>
      </c>
      <c r="F351" s="9" t="s">
        <v>867</v>
      </c>
      <c r="G351" s="9" t="s">
        <v>162</v>
      </c>
      <c r="H351" s="9" t="s">
        <v>163</v>
      </c>
      <c r="I351" s="9" t="s">
        <v>164</v>
      </c>
      <c r="J351" s="15">
        <v>15750</v>
      </c>
      <c r="K351" s="15">
        <v>2625</v>
      </c>
    </row>
    <row r="352" spans="1:11">
      <c r="A352" s="9">
        <f t="shared" si="5"/>
        <v>347</v>
      </c>
      <c r="B352" s="16" t="s">
        <v>770</v>
      </c>
      <c r="C352" s="9" t="s">
        <v>53</v>
      </c>
      <c r="D352" s="9" t="s">
        <v>868</v>
      </c>
      <c r="E352" s="9" t="s">
        <v>867</v>
      </c>
      <c r="F352" s="9" t="s">
        <v>867</v>
      </c>
      <c r="G352" s="9" t="s">
        <v>318</v>
      </c>
      <c r="H352" s="9" t="s">
        <v>319</v>
      </c>
      <c r="I352" s="9" t="s">
        <v>320</v>
      </c>
      <c r="J352" s="15">
        <v>722</v>
      </c>
      <c r="K352" s="15">
        <v>103.33</v>
      </c>
    </row>
    <row r="353" spans="1:11" ht="30">
      <c r="A353" s="9">
        <f t="shared" si="5"/>
        <v>348</v>
      </c>
      <c r="B353" s="16" t="s">
        <v>770</v>
      </c>
      <c r="C353" s="9" t="s">
        <v>53</v>
      </c>
      <c r="D353" s="9" t="s">
        <v>797</v>
      </c>
      <c r="E353" s="9" t="s">
        <v>869</v>
      </c>
      <c r="F353" s="9" t="s">
        <v>869</v>
      </c>
      <c r="G353" s="9" t="s">
        <v>870</v>
      </c>
      <c r="H353" s="9" t="s">
        <v>871</v>
      </c>
      <c r="I353" s="9" t="s">
        <v>872</v>
      </c>
      <c r="J353" s="15">
        <v>402300</v>
      </c>
      <c r="K353" s="15">
        <v>67050</v>
      </c>
    </row>
    <row r="354" spans="1:11">
      <c r="A354" s="9">
        <f t="shared" si="5"/>
        <v>349</v>
      </c>
      <c r="B354" s="16" t="s">
        <v>770</v>
      </c>
      <c r="C354" s="9" t="s">
        <v>53</v>
      </c>
      <c r="D354" s="9" t="s">
        <v>873</v>
      </c>
      <c r="E354" s="9" t="s">
        <v>874</v>
      </c>
      <c r="F354" s="9" t="s">
        <v>874</v>
      </c>
      <c r="G354" s="9" t="s">
        <v>158</v>
      </c>
      <c r="H354" s="9" t="s">
        <v>159</v>
      </c>
      <c r="I354" s="9" t="s">
        <v>160</v>
      </c>
      <c r="J354" s="15">
        <v>40000</v>
      </c>
      <c r="K354" s="15">
        <v>6666.67</v>
      </c>
    </row>
    <row r="355" spans="1:11">
      <c r="A355" s="9">
        <f t="shared" si="5"/>
        <v>350</v>
      </c>
      <c r="B355" s="16" t="s">
        <v>770</v>
      </c>
      <c r="C355" s="9" t="s">
        <v>53</v>
      </c>
      <c r="D355" s="9" t="s">
        <v>875</v>
      </c>
      <c r="E355" s="9" t="s">
        <v>876</v>
      </c>
      <c r="F355" s="9" t="s">
        <v>876</v>
      </c>
      <c r="G355" s="9" t="s">
        <v>326</v>
      </c>
      <c r="H355" s="9" t="s">
        <v>327</v>
      </c>
      <c r="I355" s="9" t="s">
        <v>328</v>
      </c>
      <c r="J355" s="15">
        <v>399598</v>
      </c>
      <c r="K355" s="15">
        <v>66599.67</v>
      </c>
    </row>
    <row r="356" spans="1:11">
      <c r="A356" s="9">
        <f t="shared" si="5"/>
        <v>351</v>
      </c>
      <c r="B356" s="16" t="s">
        <v>770</v>
      </c>
      <c r="C356" s="9" t="s">
        <v>53</v>
      </c>
      <c r="D356" s="9" t="s">
        <v>877</v>
      </c>
      <c r="E356" s="9" t="s">
        <v>876</v>
      </c>
      <c r="F356" s="9" t="s">
        <v>876</v>
      </c>
      <c r="G356" s="9" t="s">
        <v>878</v>
      </c>
      <c r="H356" s="9" t="s">
        <v>758</v>
      </c>
      <c r="I356" s="9" t="s">
        <v>879</v>
      </c>
      <c r="J356" s="15">
        <v>737360</v>
      </c>
      <c r="K356" s="15">
        <v>122893.33</v>
      </c>
    </row>
    <row r="357" spans="1:11">
      <c r="A357" s="9">
        <f t="shared" si="5"/>
        <v>352</v>
      </c>
      <c r="B357" s="16" t="s">
        <v>770</v>
      </c>
      <c r="C357" s="9" t="s">
        <v>53</v>
      </c>
      <c r="D357" s="9" t="s">
        <v>880</v>
      </c>
      <c r="E357" s="9" t="s">
        <v>881</v>
      </c>
      <c r="F357" s="9" t="s">
        <v>881</v>
      </c>
      <c r="G357" s="9" t="s">
        <v>650</v>
      </c>
      <c r="H357" s="9" t="s">
        <v>651</v>
      </c>
      <c r="I357" s="9" t="s">
        <v>652</v>
      </c>
      <c r="J357" s="15">
        <v>1850000</v>
      </c>
      <c r="K357" s="15">
        <v>308333.33</v>
      </c>
    </row>
    <row r="358" spans="1:11">
      <c r="A358" s="9">
        <f t="shared" si="5"/>
        <v>353</v>
      </c>
      <c r="B358" s="16" t="s">
        <v>770</v>
      </c>
      <c r="C358" s="9" t="s">
        <v>53</v>
      </c>
      <c r="D358" s="9" t="s">
        <v>882</v>
      </c>
      <c r="E358" s="9" t="s">
        <v>881</v>
      </c>
      <c r="F358" s="9" t="s">
        <v>881</v>
      </c>
      <c r="G358" s="9" t="s">
        <v>318</v>
      </c>
      <c r="H358" s="9" t="s">
        <v>319</v>
      </c>
      <c r="I358" s="9" t="s">
        <v>320</v>
      </c>
      <c r="J358" s="15">
        <v>755</v>
      </c>
      <c r="K358" s="15">
        <v>108.83</v>
      </c>
    </row>
    <row r="359" spans="1:11">
      <c r="A359" s="9">
        <f t="shared" si="5"/>
        <v>354</v>
      </c>
      <c r="B359" s="16" t="s">
        <v>770</v>
      </c>
      <c r="C359" s="9" t="s">
        <v>53</v>
      </c>
      <c r="D359" s="9" t="s">
        <v>883</v>
      </c>
      <c r="E359" s="9" t="s">
        <v>881</v>
      </c>
      <c r="F359" s="9" t="s">
        <v>881</v>
      </c>
      <c r="G359" s="9" t="s">
        <v>318</v>
      </c>
      <c r="H359" s="9" t="s">
        <v>319</v>
      </c>
      <c r="I359" s="9" t="s">
        <v>320</v>
      </c>
      <c r="J359" s="15">
        <v>300</v>
      </c>
      <c r="K359" s="15">
        <v>50</v>
      </c>
    </row>
    <row r="360" spans="1:11">
      <c r="A360" s="9">
        <f t="shared" si="5"/>
        <v>355</v>
      </c>
      <c r="B360" s="16" t="s">
        <v>770</v>
      </c>
      <c r="C360" s="9" t="s">
        <v>53</v>
      </c>
      <c r="D360" s="9" t="s">
        <v>884</v>
      </c>
      <c r="E360" s="9" t="s">
        <v>881</v>
      </c>
      <c r="F360" s="9" t="s">
        <v>881</v>
      </c>
      <c r="G360" s="9" t="s">
        <v>102</v>
      </c>
      <c r="H360" s="9" t="s">
        <v>103</v>
      </c>
      <c r="I360" s="9" t="s">
        <v>104</v>
      </c>
      <c r="J360" s="15">
        <v>2364</v>
      </c>
      <c r="K360" s="15">
        <v>394</v>
      </c>
    </row>
    <row r="361" spans="1:11">
      <c r="A361" s="9">
        <f t="shared" si="5"/>
        <v>356</v>
      </c>
      <c r="B361" s="16" t="s">
        <v>770</v>
      </c>
      <c r="C361" s="9" t="s">
        <v>53</v>
      </c>
      <c r="D361" s="9" t="s">
        <v>885</v>
      </c>
      <c r="E361" s="9" t="s">
        <v>881</v>
      </c>
      <c r="F361" s="9" t="s">
        <v>881</v>
      </c>
      <c r="G361" s="9" t="s">
        <v>102</v>
      </c>
      <c r="H361" s="9" t="s">
        <v>103</v>
      </c>
      <c r="I361" s="9" t="s">
        <v>104</v>
      </c>
      <c r="J361" s="15">
        <v>1828</v>
      </c>
      <c r="K361" s="15">
        <v>304.67</v>
      </c>
    </row>
    <row r="362" spans="1:11">
      <c r="A362" s="9">
        <f t="shared" si="5"/>
        <v>357</v>
      </c>
      <c r="B362" s="16" t="s">
        <v>770</v>
      </c>
      <c r="C362" s="9" t="s">
        <v>53</v>
      </c>
      <c r="D362" s="9" t="s">
        <v>886</v>
      </c>
      <c r="E362" s="9" t="s">
        <v>887</v>
      </c>
      <c r="F362" s="9" t="s">
        <v>887</v>
      </c>
      <c r="G362" s="9" t="s">
        <v>888</v>
      </c>
      <c r="H362" s="9" t="s">
        <v>500</v>
      </c>
      <c r="I362" s="9" t="s">
        <v>889</v>
      </c>
      <c r="J362" s="15">
        <v>332410</v>
      </c>
      <c r="K362" s="15">
        <v>55401.67</v>
      </c>
    </row>
    <row r="363" spans="1:11">
      <c r="A363" s="9">
        <f t="shared" si="5"/>
        <v>358</v>
      </c>
      <c r="B363" s="16" t="s">
        <v>770</v>
      </c>
      <c r="C363" s="9" t="s">
        <v>53</v>
      </c>
      <c r="D363" s="9" t="s">
        <v>890</v>
      </c>
      <c r="E363" s="9" t="s">
        <v>891</v>
      </c>
      <c r="F363" s="9" t="s">
        <v>891</v>
      </c>
      <c r="G363" s="9" t="s">
        <v>840</v>
      </c>
      <c r="H363" s="9" t="s">
        <v>319</v>
      </c>
      <c r="I363" s="9" t="s">
        <v>841</v>
      </c>
      <c r="J363" s="15">
        <v>24536.39</v>
      </c>
      <c r="K363" s="15">
        <v>4089.4</v>
      </c>
    </row>
    <row r="364" spans="1:11">
      <c r="A364" s="9">
        <f t="shared" si="5"/>
        <v>359</v>
      </c>
      <c r="B364" s="16" t="s">
        <v>892</v>
      </c>
      <c r="C364" s="9" t="s">
        <v>53</v>
      </c>
      <c r="D364" s="9" t="s">
        <v>893</v>
      </c>
      <c r="E364" s="9" t="s">
        <v>894</v>
      </c>
      <c r="F364" s="9" t="s">
        <v>894</v>
      </c>
      <c r="G364" s="9" t="s">
        <v>895</v>
      </c>
      <c r="H364" s="9" t="s">
        <v>896</v>
      </c>
      <c r="I364" s="9" t="s">
        <v>897</v>
      </c>
      <c r="J364" s="15">
        <v>473200</v>
      </c>
      <c r="K364" s="15">
        <v>78866.67</v>
      </c>
    </row>
    <row r="365" spans="1:11">
      <c r="A365" s="9">
        <f t="shared" si="5"/>
        <v>360</v>
      </c>
      <c r="B365" s="16" t="s">
        <v>892</v>
      </c>
      <c r="C365" s="9" t="s">
        <v>53</v>
      </c>
      <c r="D365" s="9" t="s">
        <v>898</v>
      </c>
      <c r="E365" s="9" t="s">
        <v>894</v>
      </c>
      <c r="F365" s="9" t="s">
        <v>894</v>
      </c>
      <c r="G365" s="9" t="s">
        <v>899</v>
      </c>
      <c r="H365" s="9" t="s">
        <v>163</v>
      </c>
      <c r="I365" s="9" t="s">
        <v>900</v>
      </c>
      <c r="J365" s="15">
        <v>45000</v>
      </c>
      <c r="K365" s="15">
        <v>7500</v>
      </c>
    </row>
    <row r="366" spans="1:11">
      <c r="A366" s="9">
        <f t="shared" si="5"/>
        <v>361</v>
      </c>
      <c r="B366" s="16" t="s">
        <v>892</v>
      </c>
      <c r="C366" s="9" t="s">
        <v>53</v>
      </c>
      <c r="D366" s="9" t="s">
        <v>901</v>
      </c>
      <c r="E366" s="9" t="s">
        <v>902</v>
      </c>
      <c r="F366" s="9" t="s">
        <v>902</v>
      </c>
      <c r="G366" s="9" t="s">
        <v>609</v>
      </c>
      <c r="H366" s="9" t="s">
        <v>610</v>
      </c>
      <c r="I366" s="9" t="s">
        <v>611</v>
      </c>
      <c r="J366" s="15">
        <v>541180</v>
      </c>
      <c r="K366" s="15">
        <v>90196.67</v>
      </c>
    </row>
    <row r="367" spans="1:11">
      <c r="A367" s="9">
        <f t="shared" si="5"/>
        <v>362</v>
      </c>
      <c r="B367" s="16" t="s">
        <v>892</v>
      </c>
      <c r="C367" s="9" t="s">
        <v>53</v>
      </c>
      <c r="D367" s="9" t="s">
        <v>137</v>
      </c>
      <c r="E367" s="9" t="s">
        <v>902</v>
      </c>
      <c r="F367" s="9" t="s">
        <v>902</v>
      </c>
      <c r="G367" s="9" t="s">
        <v>903</v>
      </c>
      <c r="H367" s="9" t="s">
        <v>904</v>
      </c>
      <c r="I367" s="9" t="s">
        <v>905</v>
      </c>
      <c r="J367" s="15">
        <v>1200000</v>
      </c>
      <c r="K367" s="15">
        <v>200000</v>
      </c>
    </row>
    <row r="368" spans="1:11" ht="30">
      <c r="A368" s="9">
        <f t="shared" si="5"/>
        <v>363</v>
      </c>
      <c r="B368" s="16" t="s">
        <v>892</v>
      </c>
      <c r="C368" s="9" t="s">
        <v>53</v>
      </c>
      <c r="D368" s="9" t="s">
        <v>906</v>
      </c>
      <c r="E368" s="9" t="s">
        <v>907</v>
      </c>
      <c r="F368" s="9" t="s">
        <v>907</v>
      </c>
      <c r="G368" s="9" t="s">
        <v>453</v>
      </c>
      <c r="H368" s="9" t="s">
        <v>57</v>
      </c>
      <c r="I368" s="9" t="s">
        <v>454</v>
      </c>
      <c r="J368" s="15">
        <v>7812</v>
      </c>
      <c r="K368" s="15">
        <v>1302</v>
      </c>
    </row>
    <row r="369" spans="1:11">
      <c r="A369" s="9">
        <f t="shared" si="5"/>
        <v>364</v>
      </c>
      <c r="B369" s="16" t="s">
        <v>892</v>
      </c>
      <c r="C369" s="9" t="s">
        <v>53</v>
      </c>
      <c r="D369" s="9" t="s">
        <v>908</v>
      </c>
      <c r="E369" s="9" t="s">
        <v>909</v>
      </c>
      <c r="F369" s="9" t="s">
        <v>909</v>
      </c>
      <c r="G369" s="9" t="s">
        <v>899</v>
      </c>
      <c r="H369" s="9" t="s">
        <v>163</v>
      </c>
      <c r="I369" s="9" t="s">
        <v>900</v>
      </c>
      <c r="J369" s="15">
        <v>873600</v>
      </c>
      <c r="K369" s="15">
        <v>145600</v>
      </c>
    </row>
    <row r="370" spans="1:11">
      <c r="A370" s="9">
        <f t="shared" si="5"/>
        <v>365</v>
      </c>
      <c r="B370" s="16" t="s">
        <v>892</v>
      </c>
      <c r="C370" s="9" t="s">
        <v>53</v>
      </c>
      <c r="D370" s="9" t="s">
        <v>910</v>
      </c>
      <c r="E370" s="9" t="s">
        <v>911</v>
      </c>
      <c r="F370" s="9" t="s">
        <v>911</v>
      </c>
      <c r="G370" s="9" t="s">
        <v>318</v>
      </c>
      <c r="H370" s="9" t="s">
        <v>319</v>
      </c>
      <c r="I370" s="9" t="s">
        <v>320</v>
      </c>
      <c r="J370" s="15">
        <v>1854</v>
      </c>
      <c r="K370" s="15">
        <v>267</v>
      </c>
    </row>
    <row r="371" spans="1:11">
      <c r="A371" s="9">
        <f t="shared" si="5"/>
        <v>366</v>
      </c>
      <c r="B371" s="16" t="s">
        <v>892</v>
      </c>
      <c r="C371" s="9" t="s">
        <v>53</v>
      </c>
      <c r="D371" s="9" t="s">
        <v>912</v>
      </c>
      <c r="E371" s="9" t="s">
        <v>911</v>
      </c>
      <c r="F371" s="9" t="s">
        <v>911</v>
      </c>
      <c r="G371" s="9" t="s">
        <v>102</v>
      </c>
      <c r="H371" s="9" t="s">
        <v>103</v>
      </c>
      <c r="I371" s="9" t="s">
        <v>104</v>
      </c>
      <c r="J371" s="15">
        <v>5697</v>
      </c>
      <c r="K371" s="15">
        <v>949.5</v>
      </c>
    </row>
    <row r="372" spans="1:11">
      <c r="A372" s="9">
        <f t="shared" si="5"/>
        <v>367</v>
      </c>
      <c r="B372" s="16" t="s">
        <v>892</v>
      </c>
      <c r="C372" s="9" t="s">
        <v>53</v>
      </c>
      <c r="D372" s="9" t="s">
        <v>913</v>
      </c>
      <c r="E372" s="9" t="s">
        <v>914</v>
      </c>
      <c r="F372" s="9" t="s">
        <v>914</v>
      </c>
      <c r="G372" s="9" t="s">
        <v>609</v>
      </c>
      <c r="H372" s="9" t="s">
        <v>610</v>
      </c>
      <c r="I372" s="9" t="s">
        <v>611</v>
      </c>
      <c r="J372" s="15">
        <v>699600</v>
      </c>
      <c r="K372" s="15">
        <v>116600</v>
      </c>
    </row>
    <row r="373" spans="1:11">
      <c r="A373" s="9">
        <f t="shared" si="5"/>
        <v>368</v>
      </c>
      <c r="B373" s="16" t="s">
        <v>892</v>
      </c>
      <c r="C373" s="9" t="s">
        <v>71</v>
      </c>
      <c r="D373" s="9" t="s">
        <v>198</v>
      </c>
      <c r="E373" s="9" t="s">
        <v>915</v>
      </c>
      <c r="F373" s="9" t="s">
        <v>36</v>
      </c>
      <c r="G373" s="9" t="s">
        <v>74</v>
      </c>
      <c r="H373" s="9" t="s">
        <v>75</v>
      </c>
      <c r="I373" s="9" t="s">
        <v>38</v>
      </c>
      <c r="J373" s="15">
        <v>6200</v>
      </c>
      <c r="K373" s="15">
        <v>1033.33</v>
      </c>
    </row>
    <row r="374" spans="1:11">
      <c r="A374" s="9">
        <f t="shared" si="5"/>
        <v>369</v>
      </c>
      <c r="B374" s="16" t="s">
        <v>892</v>
      </c>
      <c r="C374" s="9" t="s">
        <v>53</v>
      </c>
      <c r="D374" s="9" t="s">
        <v>916</v>
      </c>
      <c r="E374" s="9" t="s">
        <v>917</v>
      </c>
      <c r="F374" s="9" t="s">
        <v>917</v>
      </c>
      <c r="G374" s="9" t="s">
        <v>313</v>
      </c>
      <c r="H374" s="9" t="s">
        <v>314</v>
      </c>
      <c r="I374" s="9" t="s">
        <v>315</v>
      </c>
      <c r="J374" s="15">
        <v>30000</v>
      </c>
      <c r="K374" s="15">
        <v>5000</v>
      </c>
    </row>
    <row r="375" spans="1:11">
      <c r="A375" s="9">
        <f t="shared" si="5"/>
        <v>370</v>
      </c>
      <c r="B375" s="16" t="s">
        <v>892</v>
      </c>
      <c r="C375" s="9" t="s">
        <v>53</v>
      </c>
      <c r="D375" s="9" t="s">
        <v>918</v>
      </c>
      <c r="E375" s="9" t="s">
        <v>917</v>
      </c>
      <c r="F375" s="9" t="s">
        <v>917</v>
      </c>
      <c r="G375" s="9" t="s">
        <v>650</v>
      </c>
      <c r="H375" s="9" t="s">
        <v>651</v>
      </c>
      <c r="I375" s="9" t="s">
        <v>652</v>
      </c>
      <c r="J375" s="15">
        <v>462500</v>
      </c>
      <c r="K375" s="15">
        <v>77083.33</v>
      </c>
    </row>
    <row r="376" spans="1:11">
      <c r="A376" s="9">
        <f t="shared" si="5"/>
        <v>371</v>
      </c>
      <c r="B376" s="16" t="s">
        <v>892</v>
      </c>
      <c r="C376" s="9" t="s">
        <v>53</v>
      </c>
      <c r="D376" s="9" t="s">
        <v>509</v>
      </c>
      <c r="E376" s="9" t="s">
        <v>919</v>
      </c>
      <c r="F376" s="9" t="s">
        <v>919</v>
      </c>
      <c r="G376" s="9" t="s">
        <v>888</v>
      </c>
      <c r="H376" s="9" t="s">
        <v>500</v>
      </c>
      <c r="I376" s="9" t="s">
        <v>889</v>
      </c>
      <c r="J376" s="15">
        <v>569260</v>
      </c>
      <c r="K376" s="15">
        <v>94876.67</v>
      </c>
    </row>
    <row r="377" spans="1:11">
      <c r="A377" s="9">
        <f t="shared" si="5"/>
        <v>372</v>
      </c>
      <c r="B377" s="16" t="s">
        <v>892</v>
      </c>
      <c r="C377" s="9" t="s">
        <v>53</v>
      </c>
      <c r="D377" s="9" t="s">
        <v>920</v>
      </c>
      <c r="E377" s="9" t="s">
        <v>919</v>
      </c>
      <c r="F377" s="9" t="s">
        <v>919</v>
      </c>
      <c r="G377" s="9" t="s">
        <v>650</v>
      </c>
      <c r="H377" s="9" t="s">
        <v>651</v>
      </c>
      <c r="I377" s="9" t="s">
        <v>652</v>
      </c>
      <c r="J377" s="15">
        <v>462500</v>
      </c>
      <c r="K377" s="15">
        <v>77083.33</v>
      </c>
    </row>
    <row r="378" spans="1:11">
      <c r="A378" s="9">
        <f t="shared" si="5"/>
        <v>373</v>
      </c>
      <c r="B378" s="16" t="s">
        <v>892</v>
      </c>
      <c r="C378" s="9" t="s">
        <v>53</v>
      </c>
      <c r="D378" s="9" t="s">
        <v>921</v>
      </c>
      <c r="E378" s="9" t="s">
        <v>922</v>
      </c>
      <c r="F378" s="9" t="s">
        <v>922</v>
      </c>
      <c r="G378" s="9" t="s">
        <v>609</v>
      </c>
      <c r="H378" s="9" t="s">
        <v>610</v>
      </c>
      <c r="I378" s="9" t="s">
        <v>611</v>
      </c>
      <c r="J378" s="15">
        <v>459770</v>
      </c>
      <c r="K378" s="15">
        <v>76628.33</v>
      </c>
    </row>
    <row r="379" spans="1:11">
      <c r="A379" s="9">
        <f t="shared" si="5"/>
        <v>374</v>
      </c>
      <c r="B379" s="16" t="s">
        <v>892</v>
      </c>
      <c r="C379" s="9" t="s">
        <v>53</v>
      </c>
      <c r="D379" s="9" t="s">
        <v>923</v>
      </c>
      <c r="E379" s="9" t="s">
        <v>922</v>
      </c>
      <c r="F379" s="9" t="s">
        <v>922</v>
      </c>
      <c r="G379" s="9" t="s">
        <v>609</v>
      </c>
      <c r="H379" s="9" t="s">
        <v>610</v>
      </c>
      <c r="I379" s="9" t="s">
        <v>611</v>
      </c>
      <c r="J379" s="15">
        <v>474810</v>
      </c>
      <c r="K379" s="15">
        <v>79135</v>
      </c>
    </row>
    <row r="380" spans="1:11">
      <c r="A380" s="9">
        <f t="shared" si="5"/>
        <v>375</v>
      </c>
      <c r="B380" s="16" t="s">
        <v>892</v>
      </c>
      <c r="C380" s="9" t="s">
        <v>53</v>
      </c>
      <c r="D380" s="9" t="s">
        <v>924</v>
      </c>
      <c r="E380" s="9" t="s">
        <v>925</v>
      </c>
      <c r="F380" s="9" t="s">
        <v>925</v>
      </c>
      <c r="G380" s="9" t="s">
        <v>609</v>
      </c>
      <c r="H380" s="9" t="s">
        <v>610</v>
      </c>
      <c r="I380" s="9" t="s">
        <v>611</v>
      </c>
      <c r="J380" s="15">
        <v>573080</v>
      </c>
      <c r="K380" s="15">
        <v>95513.33</v>
      </c>
    </row>
    <row r="381" spans="1:11">
      <c r="A381" s="9">
        <f t="shared" si="5"/>
        <v>376</v>
      </c>
      <c r="B381" s="16" t="s">
        <v>892</v>
      </c>
      <c r="C381" s="9" t="s">
        <v>53</v>
      </c>
      <c r="D381" s="9" t="s">
        <v>926</v>
      </c>
      <c r="E381" s="9" t="s">
        <v>927</v>
      </c>
      <c r="F381" s="9" t="s">
        <v>927</v>
      </c>
      <c r="G381" s="9" t="s">
        <v>158</v>
      </c>
      <c r="H381" s="9" t="s">
        <v>159</v>
      </c>
      <c r="I381" s="9" t="s">
        <v>160</v>
      </c>
      <c r="J381" s="15">
        <v>40000</v>
      </c>
      <c r="K381" s="15">
        <v>6666.67</v>
      </c>
    </row>
    <row r="382" spans="1:11">
      <c r="A382" s="9">
        <f t="shared" si="5"/>
        <v>377</v>
      </c>
      <c r="B382" s="16" t="s">
        <v>892</v>
      </c>
      <c r="C382" s="9" t="s">
        <v>53</v>
      </c>
      <c r="D382" s="9" t="s">
        <v>928</v>
      </c>
      <c r="E382" s="9" t="s">
        <v>927</v>
      </c>
      <c r="F382" s="9" t="s">
        <v>927</v>
      </c>
      <c r="G382" s="9" t="s">
        <v>650</v>
      </c>
      <c r="H382" s="9" t="s">
        <v>651</v>
      </c>
      <c r="I382" s="9" t="s">
        <v>652</v>
      </c>
      <c r="J382" s="15">
        <v>462500</v>
      </c>
      <c r="K382" s="15">
        <v>77083.33</v>
      </c>
    </row>
    <row r="383" spans="1:11">
      <c r="A383" s="9">
        <f t="shared" si="5"/>
        <v>378</v>
      </c>
      <c r="B383" s="16" t="s">
        <v>892</v>
      </c>
      <c r="C383" s="9" t="s">
        <v>53</v>
      </c>
      <c r="D383" s="9" t="s">
        <v>929</v>
      </c>
      <c r="E383" s="9" t="s">
        <v>927</v>
      </c>
      <c r="F383" s="9" t="s">
        <v>930</v>
      </c>
      <c r="G383" s="9" t="s">
        <v>931</v>
      </c>
      <c r="H383" s="9" t="s">
        <v>114</v>
      </c>
      <c r="I383" s="9" t="s">
        <v>932</v>
      </c>
      <c r="J383" s="15">
        <v>96000</v>
      </c>
      <c r="K383" s="15">
        <v>16000</v>
      </c>
    </row>
    <row r="384" spans="1:11">
      <c r="A384" s="9">
        <f t="shared" si="5"/>
        <v>379</v>
      </c>
      <c r="B384" s="16" t="s">
        <v>892</v>
      </c>
      <c r="C384" s="9" t="s">
        <v>53</v>
      </c>
      <c r="D384" s="9" t="s">
        <v>933</v>
      </c>
      <c r="E384" s="9" t="s">
        <v>934</v>
      </c>
      <c r="F384" s="9" t="s">
        <v>934</v>
      </c>
      <c r="G384" s="9" t="s">
        <v>840</v>
      </c>
      <c r="H384" s="9" t="s">
        <v>319</v>
      </c>
      <c r="I384" s="9" t="s">
        <v>841</v>
      </c>
      <c r="J384" s="15">
        <v>48679.519999999997</v>
      </c>
      <c r="K384" s="15">
        <v>8113.25</v>
      </c>
    </row>
    <row r="385" spans="1:11">
      <c r="A385" s="9">
        <f t="shared" si="5"/>
        <v>380</v>
      </c>
      <c r="B385" s="16" t="s">
        <v>892</v>
      </c>
      <c r="C385" s="9" t="s">
        <v>53</v>
      </c>
      <c r="D385" s="9" t="s">
        <v>935</v>
      </c>
      <c r="E385" s="9" t="s">
        <v>934</v>
      </c>
      <c r="F385" s="9" t="s">
        <v>934</v>
      </c>
      <c r="G385" s="9" t="s">
        <v>313</v>
      </c>
      <c r="H385" s="9" t="s">
        <v>314</v>
      </c>
      <c r="I385" s="9" t="s">
        <v>315</v>
      </c>
      <c r="J385" s="15">
        <v>90000</v>
      </c>
      <c r="K385" s="15">
        <v>15000</v>
      </c>
    </row>
    <row r="386" spans="1:11">
      <c r="A386" s="9">
        <f t="shared" si="5"/>
        <v>381</v>
      </c>
      <c r="B386" s="16" t="s">
        <v>892</v>
      </c>
      <c r="C386" s="9" t="s">
        <v>53</v>
      </c>
      <c r="D386" s="9" t="s">
        <v>936</v>
      </c>
      <c r="E386" s="9" t="s">
        <v>937</v>
      </c>
      <c r="F386" s="9" t="s">
        <v>937</v>
      </c>
      <c r="G386" s="9" t="s">
        <v>650</v>
      </c>
      <c r="H386" s="9" t="s">
        <v>651</v>
      </c>
      <c r="I386" s="9" t="s">
        <v>652</v>
      </c>
      <c r="J386" s="15">
        <v>462500</v>
      </c>
      <c r="K386" s="15">
        <v>77083.33</v>
      </c>
    </row>
    <row r="387" spans="1:11">
      <c r="A387" s="9">
        <f t="shared" si="5"/>
        <v>382</v>
      </c>
      <c r="B387" s="16" t="s">
        <v>892</v>
      </c>
      <c r="C387" s="9" t="s">
        <v>53</v>
      </c>
      <c r="D387" s="9" t="s">
        <v>938</v>
      </c>
      <c r="E387" s="9" t="s">
        <v>937</v>
      </c>
      <c r="F387" s="9" t="s">
        <v>937</v>
      </c>
      <c r="G387" s="9" t="s">
        <v>102</v>
      </c>
      <c r="H387" s="9" t="s">
        <v>103</v>
      </c>
      <c r="I387" s="9" t="s">
        <v>104</v>
      </c>
      <c r="J387" s="15">
        <v>7593</v>
      </c>
      <c r="K387" s="15">
        <v>1265.5</v>
      </c>
    </row>
    <row r="388" spans="1:11">
      <c r="A388" s="9">
        <f t="shared" si="5"/>
        <v>383</v>
      </c>
      <c r="B388" s="16" t="s">
        <v>892</v>
      </c>
      <c r="C388" s="9" t="s">
        <v>53</v>
      </c>
      <c r="D388" s="9" t="s">
        <v>939</v>
      </c>
      <c r="E388" s="9" t="s">
        <v>937</v>
      </c>
      <c r="F388" s="9" t="s">
        <v>937</v>
      </c>
      <c r="G388" s="9" t="s">
        <v>102</v>
      </c>
      <c r="H388" s="9" t="s">
        <v>103</v>
      </c>
      <c r="I388" s="9" t="s">
        <v>104</v>
      </c>
      <c r="J388" s="15">
        <v>3680</v>
      </c>
      <c r="K388" s="15">
        <v>613.33000000000004</v>
      </c>
    </row>
    <row r="389" spans="1:11">
      <c r="A389" s="9">
        <f t="shared" si="5"/>
        <v>384</v>
      </c>
      <c r="B389" s="16" t="s">
        <v>892</v>
      </c>
      <c r="C389" s="9" t="s">
        <v>53</v>
      </c>
      <c r="D389" s="9" t="s">
        <v>940</v>
      </c>
      <c r="E389" s="9" t="s">
        <v>941</v>
      </c>
      <c r="F389" s="9" t="s">
        <v>941</v>
      </c>
      <c r="G389" s="9" t="s">
        <v>102</v>
      </c>
      <c r="H389" s="9" t="s">
        <v>103</v>
      </c>
      <c r="I389" s="9" t="s">
        <v>104</v>
      </c>
      <c r="J389" s="15">
        <v>5266</v>
      </c>
      <c r="K389" s="15">
        <v>877.67</v>
      </c>
    </row>
    <row r="390" spans="1:11">
      <c r="A390" s="9">
        <f t="shared" si="5"/>
        <v>385</v>
      </c>
      <c r="B390" s="16" t="s">
        <v>892</v>
      </c>
      <c r="C390" s="9" t="s">
        <v>53</v>
      </c>
      <c r="D390" s="9" t="s">
        <v>942</v>
      </c>
      <c r="E390" s="9" t="s">
        <v>943</v>
      </c>
      <c r="F390" s="9" t="s">
        <v>943</v>
      </c>
      <c r="G390" s="9" t="s">
        <v>899</v>
      </c>
      <c r="H390" s="9" t="s">
        <v>163</v>
      </c>
      <c r="I390" s="9" t="s">
        <v>900</v>
      </c>
      <c r="J390" s="15">
        <v>812200</v>
      </c>
      <c r="K390" s="15">
        <v>135366.67000000001</v>
      </c>
    </row>
    <row r="391" spans="1:11">
      <c r="A391" s="9">
        <f t="shared" ref="A391:A454" si="6">A390+1</f>
        <v>386</v>
      </c>
      <c r="B391" s="16" t="s">
        <v>892</v>
      </c>
      <c r="C391" s="9" t="s">
        <v>53</v>
      </c>
      <c r="D391" s="9" t="s">
        <v>944</v>
      </c>
      <c r="E391" s="9" t="s">
        <v>945</v>
      </c>
      <c r="F391" s="9" t="s">
        <v>945</v>
      </c>
      <c r="G391" s="9" t="s">
        <v>946</v>
      </c>
      <c r="H391" s="9" t="s">
        <v>233</v>
      </c>
      <c r="I391" s="9" t="s">
        <v>947</v>
      </c>
      <c r="J391" s="15">
        <v>20000</v>
      </c>
      <c r="K391" s="15">
        <v>3333.33</v>
      </c>
    </row>
    <row r="392" spans="1:11">
      <c r="A392" s="9">
        <f t="shared" si="6"/>
        <v>387</v>
      </c>
      <c r="B392" s="16" t="s">
        <v>892</v>
      </c>
      <c r="C392" s="9" t="s">
        <v>53</v>
      </c>
      <c r="D392" s="9" t="s">
        <v>948</v>
      </c>
      <c r="E392" s="9" t="s">
        <v>949</v>
      </c>
      <c r="F392" s="9" t="s">
        <v>949</v>
      </c>
      <c r="G392" s="9" t="s">
        <v>888</v>
      </c>
      <c r="H392" s="9" t="s">
        <v>500</v>
      </c>
      <c r="I392" s="9" t="s">
        <v>889</v>
      </c>
      <c r="J392" s="15">
        <v>492534</v>
      </c>
      <c r="K392" s="15">
        <v>82089</v>
      </c>
    </row>
    <row r="393" spans="1:11">
      <c r="A393" s="9">
        <f t="shared" si="6"/>
        <v>388</v>
      </c>
      <c r="B393" s="16" t="s">
        <v>892</v>
      </c>
      <c r="C393" s="9" t="s">
        <v>53</v>
      </c>
      <c r="D393" s="9" t="s">
        <v>912</v>
      </c>
      <c r="E393" s="9" t="s">
        <v>950</v>
      </c>
      <c r="F393" s="9" t="s">
        <v>950</v>
      </c>
      <c r="G393" s="9" t="s">
        <v>102</v>
      </c>
      <c r="H393" s="9" t="s">
        <v>103</v>
      </c>
      <c r="I393" s="9" t="s">
        <v>104</v>
      </c>
      <c r="J393" s="15">
        <v>5697</v>
      </c>
      <c r="K393" s="15">
        <v>949.5</v>
      </c>
    </row>
    <row r="394" spans="1:11">
      <c r="A394" s="9">
        <f t="shared" si="6"/>
        <v>389</v>
      </c>
      <c r="B394" s="16" t="s">
        <v>892</v>
      </c>
      <c r="C394" s="9" t="s">
        <v>53</v>
      </c>
      <c r="D394" s="9" t="s">
        <v>951</v>
      </c>
      <c r="E394" s="9" t="s">
        <v>950</v>
      </c>
      <c r="F394" s="9" t="s">
        <v>950</v>
      </c>
      <c r="G394" s="9" t="s">
        <v>609</v>
      </c>
      <c r="H394" s="9" t="s">
        <v>610</v>
      </c>
      <c r="I394" s="9" t="s">
        <v>611</v>
      </c>
      <c r="J394" s="15">
        <v>514560</v>
      </c>
      <c r="K394" s="15">
        <v>85760</v>
      </c>
    </row>
    <row r="395" spans="1:11">
      <c r="A395" s="9">
        <f t="shared" si="6"/>
        <v>390</v>
      </c>
      <c r="B395" s="16" t="s">
        <v>892</v>
      </c>
      <c r="C395" s="9" t="s">
        <v>53</v>
      </c>
      <c r="D395" s="9" t="s">
        <v>952</v>
      </c>
      <c r="E395" s="9" t="s">
        <v>953</v>
      </c>
      <c r="F395" s="9" t="s">
        <v>953</v>
      </c>
      <c r="G395" s="9" t="s">
        <v>832</v>
      </c>
      <c r="H395" s="9" t="s">
        <v>833</v>
      </c>
      <c r="I395" s="9" t="s">
        <v>834</v>
      </c>
      <c r="J395" s="15">
        <v>68700</v>
      </c>
      <c r="K395" s="15">
        <v>11450</v>
      </c>
    </row>
    <row r="396" spans="1:11">
      <c r="A396" s="9">
        <f t="shared" si="6"/>
        <v>391</v>
      </c>
      <c r="B396" s="16" t="s">
        <v>892</v>
      </c>
      <c r="C396" s="9" t="s">
        <v>53</v>
      </c>
      <c r="D396" s="9" t="s">
        <v>954</v>
      </c>
      <c r="E396" s="9" t="s">
        <v>955</v>
      </c>
      <c r="F396" s="9" t="s">
        <v>955</v>
      </c>
      <c r="G396" s="9" t="s">
        <v>956</v>
      </c>
      <c r="H396" s="9" t="s">
        <v>103</v>
      </c>
      <c r="I396" s="9" t="s">
        <v>957</v>
      </c>
      <c r="J396" s="15">
        <v>1459</v>
      </c>
      <c r="K396" s="15">
        <v>243.17</v>
      </c>
    </row>
    <row r="397" spans="1:11">
      <c r="A397" s="9">
        <f t="shared" si="6"/>
        <v>392</v>
      </c>
      <c r="B397" s="16" t="s">
        <v>892</v>
      </c>
      <c r="C397" s="9" t="s">
        <v>53</v>
      </c>
      <c r="D397" s="9" t="s">
        <v>958</v>
      </c>
      <c r="E397" s="9" t="s">
        <v>955</v>
      </c>
      <c r="F397" s="9" t="s">
        <v>955</v>
      </c>
      <c r="G397" s="9" t="s">
        <v>956</v>
      </c>
      <c r="H397" s="9" t="s">
        <v>103</v>
      </c>
      <c r="I397" s="9" t="s">
        <v>957</v>
      </c>
      <c r="J397" s="15">
        <v>1459</v>
      </c>
      <c r="K397" s="15">
        <v>243.17</v>
      </c>
    </row>
    <row r="398" spans="1:11">
      <c r="A398" s="9">
        <f t="shared" si="6"/>
        <v>393</v>
      </c>
      <c r="B398" s="16" t="s">
        <v>892</v>
      </c>
      <c r="C398" s="9" t="s">
        <v>53</v>
      </c>
      <c r="D398" s="9" t="s">
        <v>959</v>
      </c>
      <c r="E398" s="9" t="s">
        <v>960</v>
      </c>
      <c r="F398" s="9" t="s">
        <v>960</v>
      </c>
      <c r="G398" s="9" t="s">
        <v>650</v>
      </c>
      <c r="H398" s="9" t="s">
        <v>651</v>
      </c>
      <c r="I398" s="9" t="s">
        <v>652</v>
      </c>
      <c r="J398" s="15">
        <v>812700</v>
      </c>
      <c r="K398" s="15">
        <v>135450</v>
      </c>
    </row>
    <row r="399" spans="1:11">
      <c r="A399" s="9">
        <f t="shared" si="6"/>
        <v>394</v>
      </c>
      <c r="B399" s="16" t="s">
        <v>892</v>
      </c>
      <c r="C399" s="9" t="s">
        <v>53</v>
      </c>
      <c r="D399" s="9" t="s">
        <v>961</v>
      </c>
      <c r="E399" s="9" t="s">
        <v>962</v>
      </c>
      <c r="F399" s="9" t="s">
        <v>962</v>
      </c>
      <c r="G399" s="9" t="s">
        <v>318</v>
      </c>
      <c r="H399" s="9" t="s">
        <v>319</v>
      </c>
      <c r="I399" s="9" t="s">
        <v>320</v>
      </c>
      <c r="J399" s="15">
        <v>2305</v>
      </c>
      <c r="K399" s="15">
        <v>312.51</v>
      </c>
    </row>
    <row r="400" spans="1:11">
      <c r="A400" s="9">
        <f t="shared" si="6"/>
        <v>395</v>
      </c>
      <c r="B400" s="16" t="s">
        <v>892</v>
      </c>
      <c r="C400" s="9" t="s">
        <v>53</v>
      </c>
      <c r="D400" s="9" t="s">
        <v>963</v>
      </c>
      <c r="E400" s="9" t="s">
        <v>962</v>
      </c>
      <c r="F400" s="9" t="s">
        <v>962</v>
      </c>
      <c r="G400" s="9" t="s">
        <v>313</v>
      </c>
      <c r="H400" s="9" t="s">
        <v>314</v>
      </c>
      <c r="I400" s="9" t="s">
        <v>315</v>
      </c>
      <c r="J400" s="15">
        <v>30000</v>
      </c>
      <c r="K400" s="15">
        <v>5000</v>
      </c>
    </row>
    <row r="401" spans="1:11" ht="30">
      <c r="A401" s="9">
        <f t="shared" si="6"/>
        <v>396</v>
      </c>
      <c r="B401" s="16" t="s">
        <v>892</v>
      </c>
      <c r="C401" s="9" t="s">
        <v>53</v>
      </c>
      <c r="D401" s="9" t="s">
        <v>964</v>
      </c>
      <c r="E401" s="9" t="s">
        <v>962</v>
      </c>
      <c r="F401" s="9" t="s">
        <v>962</v>
      </c>
      <c r="G401" s="9" t="s">
        <v>965</v>
      </c>
      <c r="H401" s="9" t="s">
        <v>57</v>
      </c>
      <c r="I401" s="9" t="s">
        <v>966</v>
      </c>
      <c r="J401" s="15">
        <v>42000</v>
      </c>
      <c r="K401" s="15">
        <v>7000</v>
      </c>
    </row>
    <row r="402" spans="1:11">
      <c r="A402" s="9">
        <f t="shared" si="6"/>
        <v>397</v>
      </c>
      <c r="B402" s="16" t="s">
        <v>892</v>
      </c>
      <c r="C402" s="9" t="s">
        <v>53</v>
      </c>
      <c r="D402" s="9" t="s">
        <v>967</v>
      </c>
      <c r="E402" s="9" t="s">
        <v>968</v>
      </c>
      <c r="F402" s="9" t="s">
        <v>968</v>
      </c>
      <c r="G402" s="9" t="s">
        <v>609</v>
      </c>
      <c r="H402" s="9" t="s">
        <v>610</v>
      </c>
      <c r="I402" s="9" t="s">
        <v>611</v>
      </c>
      <c r="J402" s="15">
        <v>469260</v>
      </c>
      <c r="K402" s="15">
        <v>78210</v>
      </c>
    </row>
    <row r="403" spans="1:11">
      <c r="A403" s="9">
        <f t="shared" si="6"/>
        <v>398</v>
      </c>
      <c r="B403" s="16" t="s">
        <v>892</v>
      </c>
      <c r="C403" s="9" t="s">
        <v>53</v>
      </c>
      <c r="D403" s="9" t="s">
        <v>969</v>
      </c>
      <c r="E403" s="9" t="s">
        <v>968</v>
      </c>
      <c r="F403" s="9" t="s">
        <v>968</v>
      </c>
      <c r="G403" s="9" t="s">
        <v>304</v>
      </c>
      <c r="H403" s="9" t="s">
        <v>294</v>
      </c>
      <c r="I403" s="9" t="s">
        <v>305</v>
      </c>
      <c r="J403" s="15">
        <v>8000</v>
      </c>
      <c r="K403" s="15">
        <v>1333.34</v>
      </c>
    </row>
    <row r="404" spans="1:11">
      <c r="A404" s="9">
        <f t="shared" si="6"/>
        <v>399</v>
      </c>
      <c r="B404" s="16" t="s">
        <v>892</v>
      </c>
      <c r="C404" s="9" t="s">
        <v>53</v>
      </c>
      <c r="D404" s="9" t="s">
        <v>970</v>
      </c>
      <c r="E404" s="9" t="s">
        <v>971</v>
      </c>
      <c r="F404" s="9" t="s">
        <v>971</v>
      </c>
      <c r="G404" s="9" t="s">
        <v>650</v>
      </c>
      <c r="H404" s="9" t="s">
        <v>651</v>
      </c>
      <c r="I404" s="9" t="s">
        <v>652</v>
      </c>
      <c r="J404" s="15">
        <v>485000</v>
      </c>
      <c r="K404" s="15">
        <v>80833.33</v>
      </c>
    </row>
    <row r="405" spans="1:11">
      <c r="A405" s="9">
        <f t="shared" si="6"/>
        <v>400</v>
      </c>
      <c r="B405" s="16" t="s">
        <v>892</v>
      </c>
      <c r="C405" s="9" t="s">
        <v>53</v>
      </c>
      <c r="D405" s="9" t="s">
        <v>972</v>
      </c>
      <c r="E405" s="9" t="s">
        <v>973</v>
      </c>
      <c r="F405" s="9" t="s">
        <v>973</v>
      </c>
      <c r="G405" s="9" t="s">
        <v>609</v>
      </c>
      <c r="H405" s="9" t="s">
        <v>610</v>
      </c>
      <c r="I405" s="9" t="s">
        <v>611</v>
      </c>
      <c r="J405" s="15">
        <v>462250</v>
      </c>
      <c r="K405" s="15">
        <v>77041.66</v>
      </c>
    </row>
    <row r="406" spans="1:11">
      <c r="A406" s="9">
        <f t="shared" si="6"/>
        <v>401</v>
      </c>
      <c r="B406" s="16" t="s">
        <v>892</v>
      </c>
      <c r="C406" s="9" t="s">
        <v>53</v>
      </c>
      <c r="D406" s="9" t="s">
        <v>974</v>
      </c>
      <c r="E406" s="9" t="s">
        <v>975</v>
      </c>
      <c r="F406" s="9" t="s">
        <v>975</v>
      </c>
      <c r="G406" s="9" t="s">
        <v>318</v>
      </c>
      <c r="H406" s="9" t="s">
        <v>319</v>
      </c>
      <c r="I406" s="9" t="s">
        <v>320</v>
      </c>
      <c r="J406" s="15">
        <v>588</v>
      </c>
      <c r="K406" s="15">
        <v>85.67</v>
      </c>
    </row>
    <row r="407" spans="1:11">
      <c r="A407" s="9">
        <f t="shared" si="6"/>
        <v>402</v>
      </c>
      <c r="B407" s="16" t="s">
        <v>892</v>
      </c>
      <c r="C407" s="9" t="s">
        <v>53</v>
      </c>
      <c r="D407" s="9" t="s">
        <v>976</v>
      </c>
      <c r="E407" s="9" t="s">
        <v>975</v>
      </c>
      <c r="F407" s="9" t="s">
        <v>975</v>
      </c>
      <c r="G407" s="9" t="s">
        <v>650</v>
      </c>
      <c r="H407" s="9" t="s">
        <v>651</v>
      </c>
      <c r="I407" s="9" t="s">
        <v>652</v>
      </c>
      <c r="J407" s="15">
        <v>48500</v>
      </c>
      <c r="K407" s="15">
        <v>8083.33</v>
      </c>
    </row>
    <row r="408" spans="1:11">
      <c r="A408" s="9">
        <f t="shared" si="6"/>
        <v>403</v>
      </c>
      <c r="B408" s="16" t="s">
        <v>892</v>
      </c>
      <c r="C408" s="9" t="s">
        <v>53</v>
      </c>
      <c r="D408" s="9" t="s">
        <v>977</v>
      </c>
      <c r="E408" s="9" t="s">
        <v>978</v>
      </c>
      <c r="F408" s="9" t="s">
        <v>978</v>
      </c>
      <c r="G408" s="9" t="s">
        <v>840</v>
      </c>
      <c r="H408" s="9" t="s">
        <v>319</v>
      </c>
      <c r="I408" s="9" t="s">
        <v>841</v>
      </c>
      <c r="J408" s="15">
        <v>30506.46</v>
      </c>
      <c r="K408" s="15">
        <v>5084.41</v>
      </c>
    </row>
    <row r="409" spans="1:11">
      <c r="A409" s="9">
        <f t="shared" si="6"/>
        <v>404</v>
      </c>
      <c r="B409" s="16" t="s">
        <v>892</v>
      </c>
      <c r="C409" s="9" t="s">
        <v>53</v>
      </c>
      <c r="D409" s="9" t="s">
        <v>979</v>
      </c>
      <c r="E409" s="9" t="s">
        <v>980</v>
      </c>
      <c r="F409" s="9" t="s">
        <v>980</v>
      </c>
      <c r="G409" s="9" t="s">
        <v>650</v>
      </c>
      <c r="H409" s="9" t="s">
        <v>651</v>
      </c>
      <c r="I409" s="9" t="s">
        <v>652</v>
      </c>
      <c r="J409" s="15">
        <v>160025</v>
      </c>
      <c r="K409" s="15">
        <v>26670.83</v>
      </c>
    </row>
    <row r="410" spans="1:11">
      <c r="A410" s="9">
        <f t="shared" si="6"/>
        <v>405</v>
      </c>
      <c r="B410" s="16" t="s">
        <v>892</v>
      </c>
      <c r="C410" s="9" t="s">
        <v>53</v>
      </c>
      <c r="D410" s="9" t="s">
        <v>981</v>
      </c>
      <c r="E410" s="9" t="s">
        <v>982</v>
      </c>
      <c r="F410" s="9" t="s">
        <v>982</v>
      </c>
      <c r="G410" s="9" t="s">
        <v>983</v>
      </c>
      <c r="H410" s="9" t="s">
        <v>103</v>
      </c>
      <c r="I410" s="9" t="s">
        <v>984</v>
      </c>
      <c r="J410" s="15">
        <v>5</v>
      </c>
      <c r="K410" s="15">
        <v>0.83</v>
      </c>
    </row>
    <row r="411" spans="1:11">
      <c r="A411" s="9">
        <f t="shared" si="6"/>
        <v>406</v>
      </c>
      <c r="B411" s="16" t="s">
        <v>892</v>
      </c>
      <c r="C411" s="9" t="s">
        <v>53</v>
      </c>
      <c r="D411" s="9" t="s">
        <v>985</v>
      </c>
      <c r="E411" s="9" t="s">
        <v>986</v>
      </c>
      <c r="F411" s="9" t="s">
        <v>986</v>
      </c>
      <c r="G411" s="9" t="s">
        <v>609</v>
      </c>
      <c r="H411" s="9" t="s">
        <v>610</v>
      </c>
      <c r="I411" s="9" t="s">
        <v>611</v>
      </c>
      <c r="J411" s="15">
        <v>820800</v>
      </c>
      <c r="K411" s="15">
        <v>136800</v>
      </c>
    </row>
    <row r="412" spans="1:11">
      <c r="A412" s="9">
        <f t="shared" si="6"/>
        <v>407</v>
      </c>
      <c r="B412" s="16" t="s">
        <v>892</v>
      </c>
      <c r="C412" s="9" t="s">
        <v>53</v>
      </c>
      <c r="D412" s="9" t="s">
        <v>987</v>
      </c>
      <c r="E412" s="9" t="s">
        <v>986</v>
      </c>
      <c r="F412" s="9" t="s">
        <v>986</v>
      </c>
      <c r="G412" s="9" t="s">
        <v>888</v>
      </c>
      <c r="H412" s="9" t="s">
        <v>500</v>
      </c>
      <c r="I412" s="9" t="s">
        <v>889</v>
      </c>
      <c r="J412" s="15">
        <v>716768</v>
      </c>
      <c r="K412" s="15">
        <v>119461.33</v>
      </c>
    </row>
    <row r="413" spans="1:11">
      <c r="A413" s="9">
        <f t="shared" si="6"/>
        <v>408</v>
      </c>
      <c r="B413" s="16" t="s">
        <v>892</v>
      </c>
      <c r="C413" s="9" t="s">
        <v>53</v>
      </c>
      <c r="D413" s="9" t="s">
        <v>988</v>
      </c>
      <c r="E413" s="9" t="s">
        <v>989</v>
      </c>
      <c r="F413" s="9" t="s">
        <v>989</v>
      </c>
      <c r="G413" s="9" t="s">
        <v>158</v>
      </c>
      <c r="H413" s="9" t="s">
        <v>159</v>
      </c>
      <c r="I413" s="9" t="s">
        <v>160</v>
      </c>
      <c r="J413" s="15">
        <v>40000</v>
      </c>
      <c r="K413" s="15">
        <v>6666.67</v>
      </c>
    </row>
    <row r="414" spans="1:11">
      <c r="A414" s="9">
        <f t="shared" si="6"/>
        <v>409</v>
      </c>
      <c r="B414" s="16" t="s">
        <v>892</v>
      </c>
      <c r="C414" s="9" t="s">
        <v>53</v>
      </c>
      <c r="D414" s="9" t="s">
        <v>265</v>
      </c>
      <c r="E414" s="9" t="s">
        <v>990</v>
      </c>
      <c r="F414" s="9" t="s">
        <v>990</v>
      </c>
      <c r="G414" s="9" t="s">
        <v>991</v>
      </c>
      <c r="H414" s="9" t="s">
        <v>327</v>
      </c>
      <c r="I414" s="9" t="s">
        <v>992</v>
      </c>
      <c r="J414" s="15">
        <v>67500</v>
      </c>
      <c r="K414" s="15">
        <v>11250</v>
      </c>
    </row>
    <row r="415" spans="1:11">
      <c r="A415" s="9">
        <f t="shared" si="6"/>
        <v>410</v>
      </c>
      <c r="B415" s="16" t="s">
        <v>892</v>
      </c>
      <c r="C415" s="9" t="s">
        <v>53</v>
      </c>
      <c r="D415" s="9" t="s">
        <v>993</v>
      </c>
      <c r="E415" s="9" t="s">
        <v>994</v>
      </c>
      <c r="F415" s="9" t="s">
        <v>994</v>
      </c>
      <c r="G415" s="9" t="s">
        <v>888</v>
      </c>
      <c r="H415" s="9" t="s">
        <v>500</v>
      </c>
      <c r="I415" s="9" t="s">
        <v>889</v>
      </c>
      <c r="J415" s="15">
        <v>565020</v>
      </c>
      <c r="K415" s="15">
        <v>94170</v>
      </c>
    </row>
    <row r="416" spans="1:11">
      <c r="A416" s="9">
        <f t="shared" si="6"/>
        <v>411</v>
      </c>
      <c r="B416" s="16" t="s">
        <v>892</v>
      </c>
      <c r="C416" s="9" t="s">
        <v>53</v>
      </c>
      <c r="D416" s="9" t="s">
        <v>995</v>
      </c>
      <c r="E416" s="9" t="s">
        <v>994</v>
      </c>
      <c r="F416" s="9" t="s">
        <v>994</v>
      </c>
      <c r="G416" s="9" t="s">
        <v>102</v>
      </c>
      <c r="H416" s="9" t="s">
        <v>103</v>
      </c>
      <c r="I416" s="9" t="s">
        <v>104</v>
      </c>
      <c r="J416" s="15">
        <v>1690</v>
      </c>
      <c r="K416" s="15">
        <v>281.67</v>
      </c>
    </row>
    <row r="417" spans="1:11">
      <c r="A417" s="9">
        <f t="shared" si="6"/>
        <v>412</v>
      </c>
      <c r="B417" s="16" t="s">
        <v>892</v>
      </c>
      <c r="C417" s="9" t="s">
        <v>53</v>
      </c>
      <c r="D417" s="9" t="s">
        <v>996</v>
      </c>
      <c r="E417" s="9" t="s">
        <v>997</v>
      </c>
      <c r="F417" s="9" t="s">
        <v>997</v>
      </c>
      <c r="G417" s="9" t="s">
        <v>998</v>
      </c>
      <c r="H417" s="9" t="s">
        <v>999</v>
      </c>
      <c r="I417" s="9" t="s">
        <v>1000</v>
      </c>
      <c r="J417" s="15">
        <v>8132</v>
      </c>
      <c r="K417" s="15">
        <v>1355.33</v>
      </c>
    </row>
    <row r="418" spans="1:11">
      <c r="A418" s="9">
        <f t="shared" si="6"/>
        <v>413</v>
      </c>
      <c r="B418" s="16" t="s">
        <v>892</v>
      </c>
      <c r="C418" s="9" t="s">
        <v>53</v>
      </c>
      <c r="D418" s="9" t="s">
        <v>1001</v>
      </c>
      <c r="E418" s="9" t="s">
        <v>997</v>
      </c>
      <c r="F418" s="9" t="s">
        <v>997</v>
      </c>
      <c r="G418" s="9" t="s">
        <v>650</v>
      </c>
      <c r="H418" s="9" t="s">
        <v>651</v>
      </c>
      <c r="I418" s="9" t="s">
        <v>652</v>
      </c>
      <c r="J418" s="15">
        <v>98000</v>
      </c>
      <c r="K418" s="15">
        <v>16333.33</v>
      </c>
    </row>
    <row r="419" spans="1:11">
      <c r="A419" s="9">
        <f t="shared" si="6"/>
        <v>414</v>
      </c>
      <c r="B419" s="16" t="s">
        <v>892</v>
      </c>
      <c r="C419" s="9" t="s">
        <v>53</v>
      </c>
      <c r="D419" s="9" t="s">
        <v>1002</v>
      </c>
      <c r="E419" s="9" t="s">
        <v>997</v>
      </c>
      <c r="F419" s="9" t="s">
        <v>997</v>
      </c>
      <c r="G419" s="9" t="s">
        <v>304</v>
      </c>
      <c r="H419" s="9" t="s">
        <v>294</v>
      </c>
      <c r="I419" s="9" t="s">
        <v>305</v>
      </c>
      <c r="J419" s="15">
        <v>24900</v>
      </c>
      <c r="K419" s="15">
        <v>4150</v>
      </c>
    </row>
    <row r="420" spans="1:11">
      <c r="A420" s="9">
        <f t="shared" si="6"/>
        <v>415</v>
      </c>
      <c r="B420" s="16" t="s">
        <v>892</v>
      </c>
      <c r="C420" s="9" t="s">
        <v>53</v>
      </c>
      <c r="D420" s="9" t="s">
        <v>1003</v>
      </c>
      <c r="E420" s="9" t="s">
        <v>1004</v>
      </c>
      <c r="F420" s="9" t="s">
        <v>1004</v>
      </c>
      <c r="G420" s="9" t="s">
        <v>983</v>
      </c>
      <c r="H420" s="9" t="s">
        <v>103</v>
      </c>
      <c r="I420" s="9" t="s">
        <v>984</v>
      </c>
      <c r="J420" s="15">
        <v>5</v>
      </c>
      <c r="K420" s="15">
        <v>0.83</v>
      </c>
    </row>
    <row r="421" spans="1:11">
      <c r="A421" s="9">
        <f t="shared" si="6"/>
        <v>416</v>
      </c>
      <c r="B421" s="16" t="s">
        <v>892</v>
      </c>
      <c r="C421" s="9" t="s">
        <v>53</v>
      </c>
      <c r="D421" s="9" t="s">
        <v>1005</v>
      </c>
      <c r="E421" s="9" t="s">
        <v>1004</v>
      </c>
      <c r="F421" s="9" t="s">
        <v>1004</v>
      </c>
      <c r="G421" s="9" t="s">
        <v>609</v>
      </c>
      <c r="H421" s="9" t="s">
        <v>610</v>
      </c>
      <c r="I421" s="9" t="s">
        <v>611</v>
      </c>
      <c r="J421" s="15">
        <v>444960</v>
      </c>
      <c r="K421" s="15">
        <v>74160</v>
      </c>
    </row>
    <row r="422" spans="1:11">
      <c r="A422" s="9">
        <f t="shared" si="6"/>
        <v>417</v>
      </c>
      <c r="B422" s="16" t="s">
        <v>892</v>
      </c>
      <c r="C422" s="9" t="s">
        <v>53</v>
      </c>
      <c r="D422" s="9" t="s">
        <v>1006</v>
      </c>
      <c r="E422" s="9" t="s">
        <v>1004</v>
      </c>
      <c r="F422" s="9" t="s">
        <v>1004</v>
      </c>
      <c r="G422" s="9" t="s">
        <v>609</v>
      </c>
      <c r="H422" s="9" t="s">
        <v>610</v>
      </c>
      <c r="I422" s="9" t="s">
        <v>611</v>
      </c>
      <c r="J422" s="15">
        <v>428600</v>
      </c>
      <c r="K422" s="15">
        <v>71433.33</v>
      </c>
    </row>
    <row r="423" spans="1:11">
      <c r="A423" s="9">
        <f t="shared" si="6"/>
        <v>418</v>
      </c>
      <c r="B423" s="16" t="s">
        <v>892</v>
      </c>
      <c r="C423" s="9" t="s">
        <v>53</v>
      </c>
      <c r="D423" s="9" t="s">
        <v>1007</v>
      </c>
      <c r="E423" s="9" t="s">
        <v>1008</v>
      </c>
      <c r="F423" s="9" t="s">
        <v>1008</v>
      </c>
      <c r="G423" s="9" t="s">
        <v>899</v>
      </c>
      <c r="H423" s="9" t="s">
        <v>163</v>
      </c>
      <c r="I423" s="9" t="s">
        <v>900</v>
      </c>
      <c r="J423" s="15">
        <v>568250</v>
      </c>
      <c r="K423" s="15">
        <v>94708.33</v>
      </c>
    </row>
    <row r="424" spans="1:11">
      <c r="A424" s="9">
        <f t="shared" si="6"/>
        <v>419</v>
      </c>
      <c r="B424" s="16" t="s">
        <v>892</v>
      </c>
      <c r="C424" s="9" t="s">
        <v>53</v>
      </c>
      <c r="D424" s="9" t="s">
        <v>1009</v>
      </c>
      <c r="E424" s="9" t="s">
        <v>1010</v>
      </c>
      <c r="F424" s="9" t="s">
        <v>1010</v>
      </c>
      <c r="G424" s="9" t="s">
        <v>609</v>
      </c>
      <c r="H424" s="9" t="s">
        <v>610</v>
      </c>
      <c r="I424" s="9" t="s">
        <v>611</v>
      </c>
      <c r="J424" s="15">
        <v>504200</v>
      </c>
      <c r="K424" s="15">
        <v>84033.33</v>
      </c>
    </row>
    <row r="425" spans="1:11">
      <c r="A425" s="9">
        <f t="shared" si="6"/>
        <v>420</v>
      </c>
      <c r="B425" s="16" t="s">
        <v>892</v>
      </c>
      <c r="C425" s="9" t="s">
        <v>53</v>
      </c>
      <c r="D425" s="9" t="s">
        <v>1011</v>
      </c>
      <c r="E425" s="9" t="s">
        <v>1012</v>
      </c>
      <c r="F425" s="9" t="s">
        <v>1012</v>
      </c>
      <c r="G425" s="9" t="s">
        <v>313</v>
      </c>
      <c r="H425" s="9" t="s">
        <v>314</v>
      </c>
      <c r="I425" s="9" t="s">
        <v>315</v>
      </c>
      <c r="J425" s="15">
        <v>33600</v>
      </c>
      <c r="K425" s="15">
        <v>5600</v>
      </c>
    </row>
    <row r="426" spans="1:11">
      <c r="A426" s="9">
        <f t="shared" si="6"/>
        <v>421</v>
      </c>
      <c r="B426" s="16" t="s">
        <v>892</v>
      </c>
      <c r="C426" s="9" t="s">
        <v>71</v>
      </c>
      <c r="D426" s="9" t="s">
        <v>1013</v>
      </c>
      <c r="E426" s="9" t="s">
        <v>1010</v>
      </c>
      <c r="F426" s="9" t="s">
        <v>36</v>
      </c>
      <c r="G426" s="9" t="s">
        <v>74</v>
      </c>
      <c r="H426" s="9" t="s">
        <v>75</v>
      </c>
      <c r="I426" s="9" t="s">
        <v>38</v>
      </c>
      <c r="J426" s="15">
        <v>475945</v>
      </c>
      <c r="K426" s="15">
        <v>11579.17</v>
      </c>
    </row>
    <row r="427" spans="1:11">
      <c r="A427" s="9">
        <f t="shared" si="6"/>
        <v>422</v>
      </c>
      <c r="B427" s="16" t="s">
        <v>892</v>
      </c>
      <c r="C427" s="9" t="s">
        <v>53</v>
      </c>
      <c r="D427" s="9" t="s">
        <v>1014</v>
      </c>
      <c r="E427" s="9" t="s">
        <v>1012</v>
      </c>
      <c r="F427" s="9" t="s">
        <v>1012</v>
      </c>
      <c r="G427" s="9" t="s">
        <v>318</v>
      </c>
      <c r="H427" s="9" t="s">
        <v>319</v>
      </c>
      <c r="I427" s="9" t="s">
        <v>320</v>
      </c>
      <c r="J427" s="15">
        <v>663</v>
      </c>
      <c r="K427" s="15">
        <v>93.33</v>
      </c>
    </row>
    <row r="428" spans="1:11">
      <c r="A428" s="9">
        <f t="shared" si="6"/>
        <v>423</v>
      </c>
      <c r="B428" s="16" t="s">
        <v>892</v>
      </c>
      <c r="C428" s="9" t="s">
        <v>53</v>
      </c>
      <c r="D428" s="9" t="s">
        <v>1015</v>
      </c>
      <c r="E428" s="9" t="s">
        <v>1012</v>
      </c>
      <c r="F428" s="9" t="s">
        <v>1012</v>
      </c>
      <c r="G428" s="9" t="s">
        <v>102</v>
      </c>
      <c r="H428" s="9" t="s">
        <v>103</v>
      </c>
      <c r="I428" s="9" t="s">
        <v>104</v>
      </c>
      <c r="J428" s="15">
        <v>3092</v>
      </c>
      <c r="K428" s="15">
        <v>515.33000000000004</v>
      </c>
    </row>
    <row r="429" spans="1:11">
      <c r="A429" s="9">
        <f t="shared" si="6"/>
        <v>424</v>
      </c>
      <c r="B429" s="16" t="s">
        <v>892</v>
      </c>
      <c r="C429" s="9" t="s">
        <v>53</v>
      </c>
      <c r="D429" s="9" t="s">
        <v>1016</v>
      </c>
      <c r="E429" s="9" t="s">
        <v>1012</v>
      </c>
      <c r="F429" s="9" t="s">
        <v>1012</v>
      </c>
      <c r="G429" s="9" t="s">
        <v>102</v>
      </c>
      <c r="H429" s="9" t="s">
        <v>103</v>
      </c>
      <c r="I429" s="9" t="s">
        <v>104</v>
      </c>
      <c r="J429" s="15">
        <v>6212</v>
      </c>
      <c r="K429" s="15">
        <v>1035.3399999999999</v>
      </c>
    </row>
    <row r="430" spans="1:11">
      <c r="A430" s="9">
        <f t="shared" si="6"/>
        <v>425</v>
      </c>
      <c r="B430" s="16" t="s">
        <v>892</v>
      </c>
      <c r="C430" s="9" t="s">
        <v>53</v>
      </c>
      <c r="D430" s="9" t="s">
        <v>1017</v>
      </c>
      <c r="E430" s="9" t="s">
        <v>1018</v>
      </c>
      <c r="F430" s="9" t="s">
        <v>1018</v>
      </c>
      <c r="G430" s="9" t="s">
        <v>609</v>
      </c>
      <c r="H430" s="9" t="s">
        <v>610</v>
      </c>
      <c r="I430" s="9" t="s">
        <v>611</v>
      </c>
      <c r="J430" s="15">
        <v>705240</v>
      </c>
      <c r="K430" s="15">
        <v>117540</v>
      </c>
    </row>
    <row r="431" spans="1:11">
      <c r="A431" s="9">
        <f t="shared" si="6"/>
        <v>426</v>
      </c>
      <c r="B431" s="16" t="s">
        <v>892</v>
      </c>
      <c r="C431" s="9" t="s">
        <v>53</v>
      </c>
      <c r="D431" s="9" t="s">
        <v>1019</v>
      </c>
      <c r="E431" s="9" t="s">
        <v>1018</v>
      </c>
      <c r="F431" s="9" t="s">
        <v>1018</v>
      </c>
      <c r="G431" s="9" t="s">
        <v>650</v>
      </c>
      <c r="H431" s="9" t="s">
        <v>651</v>
      </c>
      <c r="I431" s="9" t="s">
        <v>652</v>
      </c>
      <c r="J431" s="15">
        <v>1926000</v>
      </c>
      <c r="K431" s="15">
        <v>321000</v>
      </c>
    </row>
    <row r="432" spans="1:11">
      <c r="A432" s="9">
        <f t="shared" si="6"/>
        <v>427</v>
      </c>
      <c r="B432" s="16" t="s">
        <v>892</v>
      </c>
      <c r="C432" s="9" t="s">
        <v>53</v>
      </c>
      <c r="D432" s="9" t="s">
        <v>1020</v>
      </c>
      <c r="E432" s="9" t="s">
        <v>1018</v>
      </c>
      <c r="F432" s="9" t="s">
        <v>1018</v>
      </c>
      <c r="G432" s="9" t="s">
        <v>991</v>
      </c>
      <c r="H432" s="9" t="s">
        <v>327</v>
      </c>
      <c r="I432" s="9" t="s">
        <v>992</v>
      </c>
      <c r="J432" s="15">
        <v>86112</v>
      </c>
      <c r="K432" s="15">
        <v>14352</v>
      </c>
    </row>
    <row r="433" spans="1:11">
      <c r="A433" s="9">
        <f t="shared" si="6"/>
        <v>428</v>
      </c>
      <c r="B433" s="16" t="s">
        <v>892</v>
      </c>
      <c r="C433" s="9" t="s">
        <v>53</v>
      </c>
      <c r="D433" s="9" t="s">
        <v>1021</v>
      </c>
      <c r="E433" s="9" t="s">
        <v>1022</v>
      </c>
      <c r="F433" s="9" t="s">
        <v>1022</v>
      </c>
      <c r="G433" s="9" t="s">
        <v>832</v>
      </c>
      <c r="H433" s="9" t="s">
        <v>833</v>
      </c>
      <c r="I433" s="9" t="s">
        <v>834</v>
      </c>
      <c r="J433" s="15">
        <v>27400</v>
      </c>
      <c r="K433" s="15">
        <v>4566.67</v>
      </c>
    </row>
    <row r="434" spans="1:11">
      <c r="A434" s="9">
        <f t="shared" si="6"/>
        <v>429</v>
      </c>
      <c r="B434" s="16" t="s">
        <v>892</v>
      </c>
      <c r="C434" s="9" t="s">
        <v>53</v>
      </c>
      <c r="D434" s="9" t="s">
        <v>1023</v>
      </c>
      <c r="E434" s="9" t="s">
        <v>1024</v>
      </c>
      <c r="F434" s="9" t="s">
        <v>1024</v>
      </c>
      <c r="G434" s="9" t="s">
        <v>318</v>
      </c>
      <c r="H434" s="9" t="s">
        <v>319</v>
      </c>
      <c r="I434" s="9" t="s">
        <v>320</v>
      </c>
      <c r="J434" s="15">
        <v>1214</v>
      </c>
      <c r="K434" s="15">
        <v>192.34</v>
      </c>
    </row>
    <row r="435" spans="1:11">
      <c r="A435" s="9">
        <f t="shared" si="6"/>
        <v>430</v>
      </c>
      <c r="B435" s="16" t="s">
        <v>892</v>
      </c>
      <c r="C435" s="9" t="s">
        <v>53</v>
      </c>
      <c r="D435" s="9" t="s">
        <v>1025</v>
      </c>
      <c r="E435" s="9" t="s">
        <v>1024</v>
      </c>
      <c r="F435" s="9" t="s">
        <v>1024</v>
      </c>
      <c r="G435" s="9" t="s">
        <v>102</v>
      </c>
      <c r="H435" s="9" t="s">
        <v>103</v>
      </c>
      <c r="I435" s="9" t="s">
        <v>104</v>
      </c>
      <c r="J435" s="15">
        <v>7960</v>
      </c>
      <c r="K435" s="15">
        <v>1326.67</v>
      </c>
    </row>
    <row r="436" spans="1:11">
      <c r="A436" s="9">
        <f t="shared" si="6"/>
        <v>431</v>
      </c>
      <c r="B436" s="16" t="s">
        <v>892</v>
      </c>
      <c r="C436" s="9" t="s">
        <v>53</v>
      </c>
      <c r="D436" s="9" t="s">
        <v>1026</v>
      </c>
      <c r="E436" s="9" t="s">
        <v>1024</v>
      </c>
      <c r="F436" s="9" t="s">
        <v>1024</v>
      </c>
      <c r="G436" s="9" t="s">
        <v>102</v>
      </c>
      <c r="H436" s="9" t="s">
        <v>103</v>
      </c>
      <c r="I436" s="9" t="s">
        <v>104</v>
      </c>
      <c r="J436" s="15">
        <v>432</v>
      </c>
      <c r="K436" s="15">
        <v>72</v>
      </c>
    </row>
    <row r="437" spans="1:11">
      <c r="A437" s="9">
        <f t="shared" si="6"/>
        <v>432</v>
      </c>
      <c r="B437" s="16" t="s">
        <v>892</v>
      </c>
      <c r="C437" s="9" t="s">
        <v>53</v>
      </c>
      <c r="D437" s="9" t="s">
        <v>1027</v>
      </c>
      <c r="E437" s="9" t="s">
        <v>1028</v>
      </c>
      <c r="F437" s="9" t="s">
        <v>1028</v>
      </c>
      <c r="G437" s="9" t="s">
        <v>162</v>
      </c>
      <c r="H437" s="9" t="s">
        <v>163</v>
      </c>
      <c r="I437" s="9" t="s">
        <v>164</v>
      </c>
      <c r="J437" s="15">
        <v>46400</v>
      </c>
      <c r="K437" s="15">
        <v>7733.33</v>
      </c>
    </row>
    <row r="438" spans="1:11" ht="30">
      <c r="A438" s="9">
        <f t="shared" si="6"/>
        <v>433</v>
      </c>
      <c r="B438" s="16" t="s">
        <v>892</v>
      </c>
      <c r="C438" s="9" t="s">
        <v>53</v>
      </c>
      <c r="D438" s="9" t="s">
        <v>1029</v>
      </c>
      <c r="E438" s="9" t="s">
        <v>1028</v>
      </c>
      <c r="F438" s="9" t="s">
        <v>1028</v>
      </c>
      <c r="G438" s="9" t="s">
        <v>965</v>
      </c>
      <c r="H438" s="9" t="s">
        <v>57</v>
      </c>
      <c r="I438" s="9" t="s">
        <v>966</v>
      </c>
      <c r="J438" s="15">
        <v>42000</v>
      </c>
      <c r="K438" s="15">
        <v>7000</v>
      </c>
    </row>
    <row r="439" spans="1:11">
      <c r="A439" s="9">
        <f t="shared" si="6"/>
        <v>434</v>
      </c>
      <c r="B439" s="16" t="s">
        <v>892</v>
      </c>
      <c r="C439" s="9" t="s">
        <v>53</v>
      </c>
      <c r="D439" s="9" t="s">
        <v>1030</v>
      </c>
      <c r="E439" s="9" t="s">
        <v>1031</v>
      </c>
      <c r="F439" s="9" t="s">
        <v>1031</v>
      </c>
      <c r="G439" s="9" t="s">
        <v>318</v>
      </c>
      <c r="H439" s="9" t="s">
        <v>319</v>
      </c>
      <c r="I439" s="9" t="s">
        <v>320</v>
      </c>
      <c r="J439" s="15">
        <v>954</v>
      </c>
      <c r="K439" s="15">
        <v>137.66999999999999</v>
      </c>
    </row>
    <row r="440" spans="1:11">
      <c r="A440" s="9">
        <f t="shared" si="6"/>
        <v>435</v>
      </c>
      <c r="B440" s="16" t="s">
        <v>892</v>
      </c>
      <c r="C440" s="9" t="s">
        <v>53</v>
      </c>
      <c r="D440" s="9" t="s">
        <v>1032</v>
      </c>
      <c r="E440" s="9" t="s">
        <v>1031</v>
      </c>
      <c r="F440" s="9" t="s">
        <v>1031</v>
      </c>
      <c r="G440" s="9" t="s">
        <v>991</v>
      </c>
      <c r="H440" s="9" t="s">
        <v>327</v>
      </c>
      <c r="I440" s="9" t="s">
        <v>992</v>
      </c>
      <c r="J440" s="15">
        <v>85800</v>
      </c>
      <c r="K440" s="15">
        <v>14300</v>
      </c>
    </row>
    <row r="441" spans="1:11">
      <c r="A441" s="9">
        <f t="shared" si="6"/>
        <v>436</v>
      </c>
      <c r="B441" s="16" t="s">
        <v>892</v>
      </c>
      <c r="C441" s="9" t="s">
        <v>53</v>
      </c>
      <c r="D441" s="9" t="s">
        <v>1033</v>
      </c>
      <c r="E441" s="9" t="s">
        <v>1034</v>
      </c>
      <c r="F441" s="9" t="s">
        <v>1034</v>
      </c>
      <c r="G441" s="9" t="s">
        <v>840</v>
      </c>
      <c r="H441" s="9" t="s">
        <v>319</v>
      </c>
      <c r="I441" s="9" t="s">
        <v>841</v>
      </c>
      <c r="J441" s="15">
        <v>48426.7</v>
      </c>
      <c r="K441" s="15">
        <v>8071.12</v>
      </c>
    </row>
    <row r="442" spans="1:11">
      <c r="A442" s="9">
        <f t="shared" si="6"/>
        <v>437</v>
      </c>
      <c r="B442" s="16" t="s">
        <v>892</v>
      </c>
      <c r="C442" s="9" t="s">
        <v>53</v>
      </c>
      <c r="D442" s="9" t="s">
        <v>1035</v>
      </c>
      <c r="E442" s="9" t="s">
        <v>1034</v>
      </c>
      <c r="F442" s="9" t="s">
        <v>1034</v>
      </c>
      <c r="G442" s="9" t="s">
        <v>899</v>
      </c>
      <c r="H442" s="9" t="s">
        <v>163</v>
      </c>
      <c r="I442" s="9" t="s">
        <v>900</v>
      </c>
      <c r="J442" s="15">
        <v>623150</v>
      </c>
      <c r="K442" s="15">
        <v>103858.33</v>
      </c>
    </row>
    <row r="443" spans="1:11">
      <c r="A443" s="9">
        <f t="shared" si="6"/>
        <v>438</v>
      </c>
      <c r="B443" s="9" t="s">
        <v>1036</v>
      </c>
      <c r="C443" s="9" t="s">
        <v>53</v>
      </c>
      <c r="D443" s="9" t="s">
        <v>1037</v>
      </c>
      <c r="E443" s="9" t="s">
        <v>535</v>
      </c>
      <c r="F443" s="9" t="s">
        <v>535</v>
      </c>
      <c r="G443" s="9" t="s">
        <v>313</v>
      </c>
      <c r="H443" s="9" t="s">
        <v>314</v>
      </c>
      <c r="I443" s="9" t="s">
        <v>315</v>
      </c>
      <c r="J443" s="15">
        <v>30000</v>
      </c>
      <c r="K443" s="15">
        <v>5000</v>
      </c>
    </row>
    <row r="444" spans="1:11">
      <c r="A444" s="9">
        <f t="shared" si="6"/>
        <v>439</v>
      </c>
      <c r="B444" s="9" t="s">
        <v>1036</v>
      </c>
      <c r="C444" s="9" t="s">
        <v>53</v>
      </c>
      <c r="D444" s="9" t="s">
        <v>1038</v>
      </c>
      <c r="E444" s="9" t="s">
        <v>945</v>
      </c>
      <c r="F444" s="9" t="s">
        <v>1039</v>
      </c>
      <c r="G444" s="9" t="s">
        <v>609</v>
      </c>
      <c r="H444" s="9" t="s">
        <v>610</v>
      </c>
      <c r="I444" s="9" t="s">
        <v>611</v>
      </c>
      <c r="J444" s="15">
        <v>396900</v>
      </c>
      <c r="K444" s="15">
        <v>66150</v>
      </c>
    </row>
    <row r="445" spans="1:11">
      <c r="A445" s="9">
        <f t="shared" si="6"/>
        <v>440</v>
      </c>
      <c r="B445" s="9" t="s">
        <v>1036</v>
      </c>
      <c r="C445" s="9" t="s">
        <v>53</v>
      </c>
      <c r="D445" s="9" t="s">
        <v>1040</v>
      </c>
      <c r="E445" s="9" t="s">
        <v>1041</v>
      </c>
      <c r="F445" s="9" t="s">
        <v>1039</v>
      </c>
      <c r="G445" s="9" t="s">
        <v>1042</v>
      </c>
      <c r="H445" s="9" t="s">
        <v>1043</v>
      </c>
      <c r="I445" s="9" t="s">
        <v>1044</v>
      </c>
      <c r="J445" s="15">
        <v>5000</v>
      </c>
      <c r="K445" s="15">
        <v>833.33</v>
      </c>
    </row>
    <row r="446" spans="1:11">
      <c r="A446" s="9">
        <f t="shared" si="6"/>
        <v>441</v>
      </c>
      <c r="B446" s="9" t="s">
        <v>1036</v>
      </c>
      <c r="C446" s="9" t="s">
        <v>53</v>
      </c>
      <c r="D446" s="9" t="s">
        <v>797</v>
      </c>
      <c r="E446" s="9" t="s">
        <v>1004</v>
      </c>
      <c r="F446" s="9" t="s">
        <v>1039</v>
      </c>
      <c r="G446" s="9" t="s">
        <v>1045</v>
      </c>
      <c r="H446" s="9" t="s">
        <v>1046</v>
      </c>
      <c r="I446" s="9" t="s">
        <v>1047</v>
      </c>
      <c r="J446" s="15">
        <v>367520</v>
      </c>
      <c r="K446" s="15">
        <v>61253.33</v>
      </c>
    </row>
    <row r="447" spans="1:11">
      <c r="A447" s="9">
        <f t="shared" si="6"/>
        <v>442</v>
      </c>
      <c r="B447" s="9" t="s">
        <v>1036</v>
      </c>
      <c r="C447" s="9" t="s">
        <v>53</v>
      </c>
      <c r="D447" s="9" t="s">
        <v>1048</v>
      </c>
      <c r="E447" s="9" t="s">
        <v>1049</v>
      </c>
      <c r="F447" s="9" t="s">
        <v>1039</v>
      </c>
      <c r="G447" s="9" t="s">
        <v>991</v>
      </c>
      <c r="H447" s="9" t="s">
        <v>327</v>
      </c>
      <c r="I447" s="9" t="s">
        <v>992</v>
      </c>
      <c r="J447" s="15">
        <v>85644</v>
      </c>
      <c r="K447" s="15">
        <v>14274</v>
      </c>
    </row>
    <row r="448" spans="1:11">
      <c r="A448" s="9">
        <f t="shared" si="6"/>
        <v>443</v>
      </c>
      <c r="B448" s="9" t="s">
        <v>1036</v>
      </c>
      <c r="C448" s="9" t="s">
        <v>53</v>
      </c>
      <c r="D448" s="9" t="s">
        <v>1050</v>
      </c>
      <c r="E448" s="9" t="s">
        <v>1051</v>
      </c>
      <c r="F448" s="9" t="s">
        <v>1051</v>
      </c>
      <c r="G448" s="9" t="s">
        <v>650</v>
      </c>
      <c r="H448" s="9" t="s">
        <v>651</v>
      </c>
      <c r="I448" s="9" t="s">
        <v>652</v>
      </c>
      <c r="J448" s="15">
        <v>1940000</v>
      </c>
      <c r="K448" s="15">
        <v>323333.33</v>
      </c>
    </row>
    <row r="449" spans="1:11">
      <c r="A449" s="9">
        <f t="shared" si="6"/>
        <v>444</v>
      </c>
      <c r="B449" s="9" t="s">
        <v>1036</v>
      </c>
      <c r="C449" s="9" t="s">
        <v>71</v>
      </c>
      <c r="D449" s="9" t="s">
        <v>1013</v>
      </c>
      <c r="E449" s="9" t="s">
        <v>1010</v>
      </c>
      <c r="F449" s="9" t="s">
        <v>36</v>
      </c>
      <c r="G449" s="9" t="s">
        <v>74</v>
      </c>
      <c r="H449" s="9" t="s">
        <v>75</v>
      </c>
      <c r="I449" s="9" t="s">
        <v>38</v>
      </c>
      <c r="J449" s="15">
        <v>475945</v>
      </c>
      <c r="K449" s="15">
        <v>67744.990000000005</v>
      </c>
    </row>
    <row r="450" spans="1:11">
      <c r="A450" s="9">
        <f t="shared" si="6"/>
        <v>445</v>
      </c>
      <c r="B450" s="9" t="s">
        <v>1036</v>
      </c>
      <c r="C450" s="9" t="s">
        <v>71</v>
      </c>
      <c r="D450" s="9" t="s">
        <v>1052</v>
      </c>
      <c r="E450" s="9" t="s">
        <v>1028</v>
      </c>
      <c r="F450" s="9" t="s">
        <v>36</v>
      </c>
      <c r="G450" s="9" t="s">
        <v>74</v>
      </c>
      <c r="H450" s="9" t="s">
        <v>75</v>
      </c>
      <c r="I450" s="9" t="s">
        <v>38</v>
      </c>
      <c r="J450" s="15">
        <v>400000</v>
      </c>
      <c r="K450" s="15">
        <v>66666.67</v>
      </c>
    </row>
    <row r="451" spans="1:11">
      <c r="A451" s="9">
        <f t="shared" si="6"/>
        <v>446</v>
      </c>
      <c r="B451" s="9" t="s">
        <v>1036</v>
      </c>
      <c r="C451" s="9" t="s">
        <v>71</v>
      </c>
      <c r="D451" s="9" t="s">
        <v>1053</v>
      </c>
      <c r="E451" s="9" t="s">
        <v>1034</v>
      </c>
      <c r="F451" s="9" t="s">
        <v>36</v>
      </c>
      <c r="G451" s="9" t="s">
        <v>74</v>
      </c>
      <c r="H451" s="9" t="s">
        <v>75</v>
      </c>
      <c r="I451" s="9" t="s">
        <v>38</v>
      </c>
      <c r="J451" s="15">
        <v>960000</v>
      </c>
      <c r="K451" s="15">
        <v>160000</v>
      </c>
    </row>
    <row r="452" spans="1:11">
      <c r="A452" s="9">
        <f t="shared" si="6"/>
        <v>447</v>
      </c>
      <c r="B452" s="9" t="s">
        <v>1036</v>
      </c>
      <c r="C452" s="9" t="s">
        <v>53</v>
      </c>
      <c r="D452" s="9" t="s">
        <v>1054</v>
      </c>
      <c r="E452" s="9" t="s">
        <v>1055</v>
      </c>
      <c r="F452" s="9" t="s">
        <v>1055</v>
      </c>
      <c r="G452" s="9" t="s">
        <v>650</v>
      </c>
      <c r="H452" s="9" t="s">
        <v>651</v>
      </c>
      <c r="I452" s="9" t="s">
        <v>652</v>
      </c>
      <c r="J452" s="15">
        <v>1960000</v>
      </c>
      <c r="K452" s="15">
        <v>326666.67</v>
      </c>
    </row>
    <row r="453" spans="1:11">
      <c r="A453" s="9">
        <f t="shared" si="6"/>
        <v>448</v>
      </c>
      <c r="B453" s="9" t="s">
        <v>1036</v>
      </c>
      <c r="C453" s="9" t="s">
        <v>53</v>
      </c>
      <c r="D453" s="9" t="s">
        <v>1056</v>
      </c>
      <c r="E453" s="9" t="s">
        <v>1057</v>
      </c>
      <c r="F453" s="9" t="s">
        <v>1057</v>
      </c>
      <c r="G453" s="9" t="s">
        <v>1058</v>
      </c>
      <c r="H453" s="9" t="s">
        <v>651</v>
      </c>
      <c r="I453" s="9" t="s">
        <v>1059</v>
      </c>
      <c r="J453" s="15">
        <v>33325</v>
      </c>
      <c r="K453" s="15">
        <v>5554.17</v>
      </c>
    </row>
    <row r="454" spans="1:11">
      <c r="A454" s="9">
        <f t="shared" si="6"/>
        <v>449</v>
      </c>
      <c r="B454" s="9" t="s">
        <v>1036</v>
      </c>
      <c r="C454" s="9" t="s">
        <v>53</v>
      </c>
      <c r="D454" s="9" t="s">
        <v>1060</v>
      </c>
      <c r="E454" s="9" t="s">
        <v>1061</v>
      </c>
      <c r="F454" s="9" t="s">
        <v>1061</v>
      </c>
      <c r="G454" s="9" t="s">
        <v>102</v>
      </c>
      <c r="H454" s="9" t="s">
        <v>103</v>
      </c>
      <c r="I454" s="9" t="s">
        <v>104</v>
      </c>
      <c r="J454" s="15">
        <v>2202</v>
      </c>
      <c r="K454" s="15">
        <v>367.01</v>
      </c>
    </row>
    <row r="455" spans="1:11">
      <c r="A455" s="9">
        <f t="shared" ref="A455:A518" si="7">A454+1</f>
        <v>450</v>
      </c>
      <c r="B455" s="9" t="s">
        <v>1036</v>
      </c>
      <c r="C455" s="9" t="s">
        <v>53</v>
      </c>
      <c r="D455" s="9" t="s">
        <v>1062</v>
      </c>
      <c r="E455" s="9" t="s">
        <v>1063</v>
      </c>
      <c r="F455" s="9" t="s">
        <v>1063</v>
      </c>
      <c r="G455" s="9" t="s">
        <v>158</v>
      </c>
      <c r="H455" s="9" t="s">
        <v>159</v>
      </c>
      <c r="I455" s="9" t="s">
        <v>160</v>
      </c>
      <c r="J455" s="15">
        <v>40000</v>
      </c>
      <c r="K455" s="15">
        <v>6666.67</v>
      </c>
    </row>
    <row r="456" spans="1:11">
      <c r="A456" s="9">
        <f t="shared" si="7"/>
        <v>451</v>
      </c>
      <c r="B456" s="9" t="s">
        <v>1036</v>
      </c>
      <c r="C456" s="9" t="s">
        <v>53</v>
      </c>
      <c r="D456" s="9" t="s">
        <v>1064</v>
      </c>
      <c r="E456" s="9" t="s">
        <v>1065</v>
      </c>
      <c r="F456" s="9" t="s">
        <v>1065</v>
      </c>
      <c r="G456" s="9" t="s">
        <v>983</v>
      </c>
      <c r="H456" s="9" t="s">
        <v>103</v>
      </c>
      <c r="I456" s="9" t="s">
        <v>984</v>
      </c>
      <c r="J456" s="15">
        <v>2460</v>
      </c>
      <c r="K456" s="15">
        <v>410</v>
      </c>
    </row>
    <row r="457" spans="1:11">
      <c r="A457" s="9">
        <f t="shared" si="7"/>
        <v>452</v>
      </c>
      <c r="B457" s="9" t="s">
        <v>1036</v>
      </c>
      <c r="C457" s="9" t="s">
        <v>53</v>
      </c>
      <c r="D457" s="9" t="s">
        <v>1066</v>
      </c>
      <c r="E457" s="9" t="s">
        <v>1065</v>
      </c>
      <c r="F457" s="9" t="s">
        <v>1065</v>
      </c>
      <c r="G457" s="9" t="s">
        <v>609</v>
      </c>
      <c r="H457" s="9" t="s">
        <v>610</v>
      </c>
      <c r="I457" s="9" t="s">
        <v>611</v>
      </c>
      <c r="J457" s="15">
        <v>409860</v>
      </c>
      <c r="K457" s="15">
        <v>68310</v>
      </c>
    </row>
    <row r="458" spans="1:11">
      <c r="A458" s="9">
        <f t="shared" si="7"/>
        <v>453</v>
      </c>
      <c r="B458" s="9" t="s">
        <v>1036</v>
      </c>
      <c r="C458" s="9" t="s">
        <v>53</v>
      </c>
      <c r="D458" s="9" t="s">
        <v>1067</v>
      </c>
      <c r="E458" s="9" t="s">
        <v>1068</v>
      </c>
      <c r="F458" s="9" t="s">
        <v>1068</v>
      </c>
      <c r="G458" s="9" t="s">
        <v>609</v>
      </c>
      <c r="H458" s="9" t="s">
        <v>610</v>
      </c>
      <c r="I458" s="9" t="s">
        <v>611</v>
      </c>
      <c r="J458" s="15">
        <v>442500</v>
      </c>
      <c r="K458" s="15">
        <v>73750</v>
      </c>
    </row>
    <row r="459" spans="1:11">
      <c r="A459" s="9">
        <f t="shared" si="7"/>
        <v>454</v>
      </c>
      <c r="B459" s="9" t="s">
        <v>1036</v>
      </c>
      <c r="C459" s="9" t="s">
        <v>53</v>
      </c>
      <c r="D459" s="9" t="s">
        <v>1069</v>
      </c>
      <c r="E459" s="9" t="s">
        <v>1070</v>
      </c>
      <c r="F459" s="9" t="s">
        <v>1070</v>
      </c>
      <c r="G459" s="9" t="s">
        <v>650</v>
      </c>
      <c r="H459" s="9" t="s">
        <v>651</v>
      </c>
      <c r="I459" s="9" t="s">
        <v>652</v>
      </c>
      <c r="J459" s="15">
        <v>97000</v>
      </c>
      <c r="K459" s="15">
        <v>16166.67</v>
      </c>
    </row>
    <row r="460" spans="1:11">
      <c r="A460" s="9">
        <f t="shared" si="7"/>
        <v>455</v>
      </c>
      <c r="B460" s="9" t="s">
        <v>1036</v>
      </c>
      <c r="C460" s="9" t="s">
        <v>53</v>
      </c>
      <c r="D460" s="9" t="s">
        <v>1071</v>
      </c>
      <c r="E460" s="9" t="s">
        <v>1070</v>
      </c>
      <c r="F460" s="9" t="s">
        <v>1070</v>
      </c>
      <c r="G460" s="9" t="s">
        <v>102</v>
      </c>
      <c r="H460" s="9" t="s">
        <v>103</v>
      </c>
      <c r="I460" s="9" t="s">
        <v>104</v>
      </c>
      <c r="J460" s="15">
        <v>1179</v>
      </c>
      <c r="K460" s="15">
        <v>196.5</v>
      </c>
    </row>
    <row r="461" spans="1:11">
      <c r="A461" s="9">
        <f t="shared" si="7"/>
        <v>456</v>
      </c>
      <c r="B461" s="9" t="s">
        <v>1036</v>
      </c>
      <c r="C461" s="9" t="s">
        <v>53</v>
      </c>
      <c r="D461" s="9" t="s">
        <v>1072</v>
      </c>
      <c r="E461" s="9" t="s">
        <v>1070</v>
      </c>
      <c r="F461" s="9" t="s">
        <v>1070</v>
      </c>
      <c r="G461" s="9" t="s">
        <v>102</v>
      </c>
      <c r="H461" s="9" t="s">
        <v>103</v>
      </c>
      <c r="I461" s="9" t="s">
        <v>104</v>
      </c>
      <c r="J461" s="15">
        <v>1722</v>
      </c>
      <c r="K461" s="15">
        <v>287</v>
      </c>
    </row>
    <row r="462" spans="1:11">
      <c r="A462" s="9">
        <f t="shared" si="7"/>
        <v>457</v>
      </c>
      <c r="B462" s="9" t="s">
        <v>1036</v>
      </c>
      <c r="C462" s="9" t="s">
        <v>53</v>
      </c>
      <c r="D462" s="9" t="s">
        <v>1073</v>
      </c>
      <c r="E462" s="9" t="s">
        <v>1074</v>
      </c>
      <c r="F462" s="9" t="s">
        <v>1074</v>
      </c>
      <c r="G462" s="9" t="s">
        <v>1075</v>
      </c>
      <c r="H462" s="9" t="s">
        <v>195</v>
      </c>
      <c r="I462" s="9" t="s">
        <v>1076</v>
      </c>
      <c r="J462" s="15">
        <v>21492</v>
      </c>
      <c r="K462" s="15">
        <v>3582</v>
      </c>
    </row>
    <row r="463" spans="1:11">
      <c r="A463" s="9">
        <f t="shared" si="7"/>
        <v>458</v>
      </c>
      <c r="B463" s="9" t="s">
        <v>1036</v>
      </c>
      <c r="C463" s="9" t="s">
        <v>53</v>
      </c>
      <c r="D463" s="9" t="s">
        <v>1077</v>
      </c>
      <c r="E463" s="9" t="s">
        <v>1078</v>
      </c>
      <c r="F463" s="9" t="s">
        <v>1078</v>
      </c>
      <c r="G463" s="9" t="s">
        <v>313</v>
      </c>
      <c r="H463" s="9" t="s">
        <v>314</v>
      </c>
      <c r="I463" s="9" t="s">
        <v>315</v>
      </c>
      <c r="J463" s="15">
        <v>33600</v>
      </c>
      <c r="K463" s="15">
        <v>5600</v>
      </c>
    </row>
    <row r="464" spans="1:11">
      <c r="A464" s="9">
        <f t="shared" si="7"/>
        <v>459</v>
      </c>
      <c r="B464" s="9" t="s">
        <v>1036</v>
      </c>
      <c r="C464" s="9" t="s">
        <v>53</v>
      </c>
      <c r="D464" s="9" t="s">
        <v>1079</v>
      </c>
      <c r="E464" s="9" t="s">
        <v>1078</v>
      </c>
      <c r="F464" s="9" t="s">
        <v>1078</v>
      </c>
      <c r="G464" s="9" t="s">
        <v>102</v>
      </c>
      <c r="H464" s="9" t="s">
        <v>103</v>
      </c>
      <c r="I464" s="9" t="s">
        <v>104</v>
      </c>
      <c r="J464" s="15">
        <v>6715</v>
      </c>
      <c r="K464" s="15">
        <v>1119.17</v>
      </c>
    </row>
    <row r="465" spans="1:11">
      <c r="A465" s="9">
        <f t="shared" si="7"/>
        <v>460</v>
      </c>
      <c r="B465" s="9" t="s">
        <v>1036</v>
      </c>
      <c r="C465" s="9" t="s">
        <v>53</v>
      </c>
      <c r="D465" s="9" t="s">
        <v>1080</v>
      </c>
      <c r="E465" s="9" t="s">
        <v>1081</v>
      </c>
      <c r="F465" s="9" t="s">
        <v>1081</v>
      </c>
      <c r="G465" s="9" t="s">
        <v>318</v>
      </c>
      <c r="H465" s="9" t="s">
        <v>319</v>
      </c>
      <c r="I465" s="9" t="s">
        <v>320</v>
      </c>
      <c r="J465" s="15">
        <v>638</v>
      </c>
      <c r="K465" s="15">
        <v>94.5</v>
      </c>
    </row>
    <row r="466" spans="1:11">
      <c r="A466" s="9">
        <f t="shared" si="7"/>
        <v>461</v>
      </c>
      <c r="B466" s="9" t="s">
        <v>1036</v>
      </c>
      <c r="C466" s="9" t="s">
        <v>53</v>
      </c>
      <c r="D466" s="9" t="s">
        <v>1082</v>
      </c>
      <c r="E466" s="9" t="s">
        <v>1081</v>
      </c>
      <c r="F466" s="9" t="s">
        <v>1081</v>
      </c>
      <c r="G466" s="9" t="s">
        <v>650</v>
      </c>
      <c r="H466" s="9" t="s">
        <v>651</v>
      </c>
      <c r="I466" s="9" t="s">
        <v>652</v>
      </c>
      <c r="J466" s="15">
        <v>970000</v>
      </c>
      <c r="K466" s="15">
        <v>161666.67000000001</v>
      </c>
    </row>
    <row r="467" spans="1:11">
      <c r="A467" s="9">
        <f t="shared" si="7"/>
        <v>462</v>
      </c>
      <c r="B467" s="9" t="s">
        <v>1036</v>
      </c>
      <c r="C467" s="9" t="s">
        <v>71</v>
      </c>
      <c r="D467" s="9" t="s">
        <v>1083</v>
      </c>
      <c r="E467" s="9" t="s">
        <v>1084</v>
      </c>
      <c r="F467" s="9" t="s">
        <v>36</v>
      </c>
      <c r="G467" s="9" t="s">
        <v>74</v>
      </c>
      <c r="H467" s="9" t="s">
        <v>75</v>
      </c>
      <c r="I467" s="9" t="s">
        <v>38</v>
      </c>
      <c r="J467" s="15">
        <v>98000</v>
      </c>
      <c r="K467" s="15">
        <v>16333.33</v>
      </c>
    </row>
    <row r="468" spans="1:11">
      <c r="A468" s="9">
        <f t="shared" si="7"/>
        <v>463</v>
      </c>
      <c r="B468" s="9" t="s">
        <v>1036</v>
      </c>
      <c r="C468" s="9" t="s">
        <v>53</v>
      </c>
      <c r="D468" s="9" t="s">
        <v>1085</v>
      </c>
      <c r="E468" s="9" t="s">
        <v>1086</v>
      </c>
      <c r="F468" s="9" t="s">
        <v>1086</v>
      </c>
      <c r="G468" s="9" t="s">
        <v>1087</v>
      </c>
      <c r="H468" s="9" t="s">
        <v>75</v>
      </c>
      <c r="I468" s="9" t="s">
        <v>1088</v>
      </c>
      <c r="J468" s="15">
        <v>1620</v>
      </c>
      <c r="K468" s="15">
        <v>270</v>
      </c>
    </row>
    <row r="469" spans="1:11">
      <c r="A469" s="9">
        <f t="shared" si="7"/>
        <v>464</v>
      </c>
      <c r="B469" s="9" t="s">
        <v>1036</v>
      </c>
      <c r="C469" s="9" t="s">
        <v>53</v>
      </c>
      <c r="D469" s="9" t="s">
        <v>1089</v>
      </c>
      <c r="E469" s="9" t="s">
        <v>1090</v>
      </c>
      <c r="F469" s="9" t="s">
        <v>1090</v>
      </c>
      <c r="G469" s="9" t="s">
        <v>983</v>
      </c>
      <c r="H469" s="9" t="s">
        <v>103</v>
      </c>
      <c r="I469" s="9" t="s">
        <v>984</v>
      </c>
      <c r="J469" s="15">
        <v>17214</v>
      </c>
      <c r="K469" s="15">
        <v>2869.02</v>
      </c>
    </row>
    <row r="470" spans="1:11">
      <c r="A470" s="9">
        <f t="shared" si="7"/>
        <v>465</v>
      </c>
      <c r="B470" s="9" t="s">
        <v>1036</v>
      </c>
      <c r="C470" s="9" t="s">
        <v>53</v>
      </c>
      <c r="D470" s="9" t="s">
        <v>1091</v>
      </c>
      <c r="E470" s="9" t="s">
        <v>1092</v>
      </c>
      <c r="F470" s="9" t="s">
        <v>1092</v>
      </c>
      <c r="G470" s="9" t="s">
        <v>888</v>
      </c>
      <c r="H470" s="9" t="s">
        <v>500</v>
      </c>
      <c r="I470" s="9" t="s">
        <v>889</v>
      </c>
      <c r="J470" s="15">
        <v>454680</v>
      </c>
      <c r="K470" s="15">
        <v>75780</v>
      </c>
    </row>
    <row r="471" spans="1:11">
      <c r="A471" s="9">
        <f t="shared" si="7"/>
        <v>466</v>
      </c>
      <c r="B471" s="9" t="s">
        <v>1036</v>
      </c>
      <c r="C471" s="9" t="s">
        <v>53</v>
      </c>
      <c r="D471" s="9" t="s">
        <v>1093</v>
      </c>
      <c r="E471" s="9" t="s">
        <v>1092</v>
      </c>
      <c r="F471" s="9" t="s">
        <v>1092</v>
      </c>
      <c r="G471" s="9" t="s">
        <v>650</v>
      </c>
      <c r="H471" s="9" t="s">
        <v>651</v>
      </c>
      <c r="I471" s="9" t="s">
        <v>652</v>
      </c>
      <c r="J471" s="15">
        <v>1920000</v>
      </c>
      <c r="K471" s="15">
        <v>320000</v>
      </c>
    </row>
    <row r="472" spans="1:11">
      <c r="A472" s="9">
        <f t="shared" si="7"/>
        <v>467</v>
      </c>
      <c r="B472" s="9" t="s">
        <v>1036</v>
      </c>
      <c r="C472" s="9" t="s">
        <v>53</v>
      </c>
      <c r="D472" s="9" t="s">
        <v>1094</v>
      </c>
      <c r="E472" s="9" t="s">
        <v>1095</v>
      </c>
      <c r="F472" s="9" t="s">
        <v>1095</v>
      </c>
      <c r="G472" s="9" t="s">
        <v>1096</v>
      </c>
      <c r="H472" s="9" t="s">
        <v>1097</v>
      </c>
      <c r="I472" s="9" t="s">
        <v>1098</v>
      </c>
      <c r="J472" s="15">
        <v>22380</v>
      </c>
      <c r="K472" s="15">
        <v>3730</v>
      </c>
    </row>
    <row r="473" spans="1:11">
      <c r="A473" s="9">
        <f t="shared" si="7"/>
        <v>468</v>
      </c>
      <c r="B473" s="9" t="s">
        <v>1036</v>
      </c>
      <c r="C473" s="9" t="s">
        <v>71</v>
      </c>
      <c r="D473" s="9" t="s">
        <v>1099</v>
      </c>
      <c r="E473" s="9" t="s">
        <v>1100</v>
      </c>
      <c r="F473" s="9" t="s">
        <v>36</v>
      </c>
      <c r="G473" s="9" t="s">
        <v>74</v>
      </c>
      <c r="H473" s="9" t="s">
        <v>75</v>
      </c>
      <c r="I473" s="9" t="s">
        <v>38</v>
      </c>
      <c r="J473" s="15">
        <v>980000</v>
      </c>
      <c r="K473" s="15">
        <v>163333.32999999999</v>
      </c>
    </row>
    <row r="474" spans="1:11">
      <c r="A474" s="9">
        <f t="shared" si="7"/>
        <v>469</v>
      </c>
      <c r="B474" s="9" t="s">
        <v>1036</v>
      </c>
      <c r="C474" s="9" t="s">
        <v>71</v>
      </c>
      <c r="D474" s="9" t="s">
        <v>1101</v>
      </c>
      <c r="E474" s="9" t="s">
        <v>1095</v>
      </c>
      <c r="F474" s="9" t="s">
        <v>36</v>
      </c>
      <c r="G474" s="9" t="s">
        <v>74</v>
      </c>
      <c r="H474" s="9" t="s">
        <v>75</v>
      </c>
      <c r="I474" s="9" t="s">
        <v>38</v>
      </c>
      <c r="J474" s="15">
        <v>980000</v>
      </c>
      <c r="K474" s="15">
        <v>163333.32999999999</v>
      </c>
    </row>
    <row r="475" spans="1:11">
      <c r="A475" s="9">
        <f t="shared" si="7"/>
        <v>470</v>
      </c>
      <c r="B475" s="9" t="s">
        <v>1036</v>
      </c>
      <c r="C475" s="9" t="s">
        <v>53</v>
      </c>
      <c r="D475" s="9" t="s">
        <v>1102</v>
      </c>
      <c r="E475" s="9" t="s">
        <v>1103</v>
      </c>
      <c r="F475" s="9" t="s">
        <v>1103</v>
      </c>
      <c r="G475" s="9" t="s">
        <v>318</v>
      </c>
      <c r="H475" s="9" t="s">
        <v>319</v>
      </c>
      <c r="I475" s="9" t="s">
        <v>320</v>
      </c>
      <c r="J475" s="15">
        <v>3857</v>
      </c>
      <c r="K475" s="15">
        <v>563.16999999999996</v>
      </c>
    </row>
    <row r="476" spans="1:11">
      <c r="A476" s="9">
        <f t="shared" si="7"/>
        <v>471</v>
      </c>
      <c r="B476" s="9" t="s">
        <v>1036</v>
      </c>
      <c r="C476" s="9" t="s">
        <v>53</v>
      </c>
      <c r="D476" s="9" t="s">
        <v>1104</v>
      </c>
      <c r="E476" s="9" t="s">
        <v>1103</v>
      </c>
      <c r="F476" s="9" t="s">
        <v>1103</v>
      </c>
      <c r="G476" s="9" t="s">
        <v>832</v>
      </c>
      <c r="H476" s="9" t="s">
        <v>833</v>
      </c>
      <c r="I476" s="9" t="s">
        <v>834</v>
      </c>
      <c r="J476" s="15">
        <v>24800</v>
      </c>
      <c r="K476" s="15">
        <v>4133.33</v>
      </c>
    </row>
    <row r="477" spans="1:11">
      <c r="A477" s="9">
        <f t="shared" si="7"/>
        <v>472</v>
      </c>
      <c r="B477" s="9" t="s">
        <v>1036</v>
      </c>
      <c r="C477" s="9" t="s">
        <v>53</v>
      </c>
      <c r="D477" s="9" t="s">
        <v>1105</v>
      </c>
      <c r="E477" s="9" t="s">
        <v>1103</v>
      </c>
      <c r="F477" s="9" t="s">
        <v>1103</v>
      </c>
      <c r="G477" s="9" t="s">
        <v>609</v>
      </c>
      <c r="H477" s="9" t="s">
        <v>610</v>
      </c>
      <c r="I477" s="9" t="s">
        <v>611</v>
      </c>
      <c r="J477" s="15">
        <v>662385</v>
      </c>
      <c r="K477" s="15">
        <v>110397.5</v>
      </c>
    </row>
    <row r="478" spans="1:11">
      <c r="A478" s="9">
        <f t="shared" si="7"/>
        <v>473</v>
      </c>
      <c r="B478" s="9" t="s">
        <v>1036</v>
      </c>
      <c r="C478" s="9" t="s">
        <v>53</v>
      </c>
      <c r="D478" s="9" t="s">
        <v>1106</v>
      </c>
      <c r="E478" s="9" t="s">
        <v>1103</v>
      </c>
      <c r="F478" s="9" t="s">
        <v>1103</v>
      </c>
      <c r="G478" s="9" t="s">
        <v>1107</v>
      </c>
      <c r="H478" s="9" t="s">
        <v>1108</v>
      </c>
      <c r="I478" s="9" t="s">
        <v>1109</v>
      </c>
      <c r="J478" s="15">
        <v>376850</v>
      </c>
      <c r="K478" s="15">
        <v>62808.33</v>
      </c>
    </row>
    <row r="479" spans="1:11">
      <c r="A479" s="9">
        <f t="shared" si="7"/>
        <v>474</v>
      </c>
      <c r="B479" s="9" t="s">
        <v>1036</v>
      </c>
      <c r="C479" s="9" t="s">
        <v>53</v>
      </c>
      <c r="D479" s="9" t="s">
        <v>1110</v>
      </c>
      <c r="E479" s="9" t="s">
        <v>1111</v>
      </c>
      <c r="F479" s="9" t="s">
        <v>1111</v>
      </c>
      <c r="G479" s="9" t="s">
        <v>609</v>
      </c>
      <c r="H479" s="9" t="s">
        <v>610</v>
      </c>
      <c r="I479" s="9" t="s">
        <v>611</v>
      </c>
      <c r="J479" s="15">
        <v>327800</v>
      </c>
      <c r="K479" s="15">
        <v>54633.33</v>
      </c>
    </row>
    <row r="480" spans="1:11">
      <c r="A480" s="9">
        <f t="shared" si="7"/>
        <v>475</v>
      </c>
      <c r="B480" s="9" t="s">
        <v>1036</v>
      </c>
      <c r="C480" s="9" t="s">
        <v>71</v>
      </c>
      <c r="D480" s="9" t="s">
        <v>1112</v>
      </c>
      <c r="E480" s="9" t="s">
        <v>1113</v>
      </c>
      <c r="F480" s="9" t="s">
        <v>36</v>
      </c>
      <c r="G480" s="9" t="s">
        <v>74</v>
      </c>
      <c r="H480" s="9" t="s">
        <v>75</v>
      </c>
      <c r="I480" s="9" t="s">
        <v>38</v>
      </c>
      <c r="J480" s="15">
        <v>815000</v>
      </c>
      <c r="K480" s="15">
        <v>135833.32999999999</v>
      </c>
    </row>
    <row r="481" spans="1:11">
      <c r="A481" s="9">
        <f t="shared" si="7"/>
        <v>476</v>
      </c>
      <c r="B481" s="9" t="s">
        <v>1036</v>
      </c>
      <c r="C481" s="9" t="s">
        <v>53</v>
      </c>
      <c r="D481" s="9" t="s">
        <v>1114</v>
      </c>
      <c r="E481" s="9" t="s">
        <v>1115</v>
      </c>
      <c r="F481" s="9" t="s">
        <v>1115</v>
      </c>
      <c r="G481" s="9" t="s">
        <v>609</v>
      </c>
      <c r="H481" s="9" t="s">
        <v>610</v>
      </c>
      <c r="I481" s="9" t="s">
        <v>611</v>
      </c>
      <c r="J481" s="15">
        <v>544692</v>
      </c>
      <c r="K481" s="15">
        <v>90782</v>
      </c>
    </row>
    <row r="482" spans="1:11">
      <c r="A482" s="9">
        <f t="shared" si="7"/>
        <v>477</v>
      </c>
      <c r="B482" s="9" t="s">
        <v>1036</v>
      </c>
      <c r="C482" s="9" t="s">
        <v>53</v>
      </c>
      <c r="D482" s="9" t="s">
        <v>1116</v>
      </c>
      <c r="E482" s="9" t="s">
        <v>1117</v>
      </c>
      <c r="F482" s="9" t="s">
        <v>1117</v>
      </c>
      <c r="G482" s="9" t="s">
        <v>318</v>
      </c>
      <c r="H482" s="9" t="s">
        <v>319</v>
      </c>
      <c r="I482" s="9" t="s">
        <v>320</v>
      </c>
      <c r="J482" s="15">
        <v>4210</v>
      </c>
      <c r="K482" s="15">
        <v>623.01</v>
      </c>
    </row>
    <row r="483" spans="1:11">
      <c r="A483" s="9">
        <f t="shared" si="7"/>
        <v>478</v>
      </c>
      <c r="B483" s="9" t="s">
        <v>1036</v>
      </c>
      <c r="C483" s="9" t="s">
        <v>53</v>
      </c>
      <c r="D483" s="9" t="s">
        <v>1118</v>
      </c>
      <c r="E483" s="9" t="s">
        <v>1119</v>
      </c>
      <c r="F483" s="9" t="s">
        <v>1119</v>
      </c>
      <c r="G483" s="9" t="s">
        <v>102</v>
      </c>
      <c r="H483" s="9" t="s">
        <v>103</v>
      </c>
      <c r="I483" s="9" t="s">
        <v>104</v>
      </c>
      <c r="J483" s="15">
        <v>1358</v>
      </c>
      <c r="K483" s="15">
        <v>226.33</v>
      </c>
    </row>
    <row r="484" spans="1:11">
      <c r="A484" s="9">
        <f t="shared" si="7"/>
        <v>479</v>
      </c>
      <c r="B484" s="9" t="s">
        <v>1036</v>
      </c>
      <c r="C484" s="9" t="s">
        <v>53</v>
      </c>
      <c r="D484" s="9" t="s">
        <v>1120</v>
      </c>
      <c r="E484" s="9" t="s">
        <v>1119</v>
      </c>
      <c r="F484" s="9" t="s">
        <v>1119</v>
      </c>
      <c r="G484" s="9" t="s">
        <v>102</v>
      </c>
      <c r="H484" s="9" t="s">
        <v>103</v>
      </c>
      <c r="I484" s="9" t="s">
        <v>104</v>
      </c>
      <c r="J484" s="15">
        <v>7260</v>
      </c>
      <c r="K484" s="15">
        <v>1210</v>
      </c>
    </row>
    <row r="485" spans="1:11">
      <c r="A485" s="9">
        <f t="shared" si="7"/>
        <v>480</v>
      </c>
      <c r="B485" s="9" t="s">
        <v>1036</v>
      </c>
      <c r="C485" s="9" t="s">
        <v>53</v>
      </c>
      <c r="D485" s="9" t="s">
        <v>1121</v>
      </c>
      <c r="E485" s="9" t="s">
        <v>1119</v>
      </c>
      <c r="F485" s="9" t="s">
        <v>1119</v>
      </c>
      <c r="G485" s="9" t="s">
        <v>102</v>
      </c>
      <c r="H485" s="9" t="s">
        <v>103</v>
      </c>
      <c r="I485" s="9" t="s">
        <v>104</v>
      </c>
      <c r="J485" s="15">
        <v>4109</v>
      </c>
      <c r="K485" s="15">
        <v>684.83</v>
      </c>
    </row>
    <row r="486" spans="1:11">
      <c r="A486" s="9">
        <f t="shared" si="7"/>
        <v>481</v>
      </c>
      <c r="B486" s="9" t="s">
        <v>1036</v>
      </c>
      <c r="C486" s="9" t="s">
        <v>53</v>
      </c>
      <c r="D486" s="9" t="s">
        <v>1122</v>
      </c>
      <c r="E486" s="9" t="s">
        <v>1119</v>
      </c>
      <c r="F486" s="9" t="s">
        <v>1119</v>
      </c>
      <c r="G486" s="9" t="s">
        <v>102</v>
      </c>
      <c r="H486" s="9" t="s">
        <v>103</v>
      </c>
      <c r="I486" s="9" t="s">
        <v>104</v>
      </c>
      <c r="J486" s="15">
        <v>3475</v>
      </c>
      <c r="K486" s="15">
        <v>579.16999999999996</v>
      </c>
    </row>
    <row r="487" spans="1:11">
      <c r="A487" s="9">
        <f t="shared" si="7"/>
        <v>482</v>
      </c>
      <c r="B487" s="9" t="s">
        <v>1036</v>
      </c>
      <c r="C487" s="9" t="s">
        <v>53</v>
      </c>
      <c r="D487" s="9" t="s">
        <v>1123</v>
      </c>
      <c r="E487" s="9" t="s">
        <v>1119</v>
      </c>
      <c r="F487" s="9" t="s">
        <v>1119</v>
      </c>
      <c r="G487" s="9" t="s">
        <v>102</v>
      </c>
      <c r="H487" s="9" t="s">
        <v>103</v>
      </c>
      <c r="I487" s="9" t="s">
        <v>104</v>
      </c>
      <c r="J487" s="15">
        <v>1127</v>
      </c>
      <c r="K487" s="15">
        <v>187.83</v>
      </c>
    </row>
    <row r="488" spans="1:11" ht="30">
      <c r="A488" s="9">
        <f t="shared" si="7"/>
        <v>483</v>
      </c>
      <c r="B488" s="9" t="s">
        <v>1036</v>
      </c>
      <c r="C488" s="9" t="s">
        <v>53</v>
      </c>
      <c r="D488" s="9" t="s">
        <v>1124</v>
      </c>
      <c r="E488" s="9" t="s">
        <v>1119</v>
      </c>
      <c r="F488" s="9" t="s">
        <v>1119</v>
      </c>
      <c r="G488" s="9" t="s">
        <v>510</v>
      </c>
      <c r="H488" s="9" t="s">
        <v>511</v>
      </c>
      <c r="I488" s="9" t="s">
        <v>512</v>
      </c>
      <c r="J488" s="15">
        <v>1880</v>
      </c>
      <c r="K488" s="15">
        <v>313.33</v>
      </c>
    </row>
    <row r="489" spans="1:11">
      <c r="A489" s="9">
        <f t="shared" si="7"/>
        <v>484</v>
      </c>
      <c r="B489" s="9" t="s">
        <v>1036</v>
      </c>
      <c r="C489" s="9" t="s">
        <v>53</v>
      </c>
      <c r="D489" s="9" t="s">
        <v>1125</v>
      </c>
      <c r="E489" s="9" t="s">
        <v>1126</v>
      </c>
      <c r="F489" s="9" t="s">
        <v>1126</v>
      </c>
      <c r="G489" s="9" t="s">
        <v>318</v>
      </c>
      <c r="H489" s="9" t="s">
        <v>319</v>
      </c>
      <c r="I489" s="9" t="s">
        <v>320</v>
      </c>
      <c r="J489" s="15">
        <v>1629</v>
      </c>
      <c r="K489" s="15">
        <v>271.5</v>
      </c>
    </row>
    <row r="490" spans="1:11">
      <c r="A490" s="9">
        <f t="shared" si="7"/>
        <v>485</v>
      </c>
      <c r="B490" s="9" t="s">
        <v>1036</v>
      </c>
      <c r="C490" s="9" t="s">
        <v>53</v>
      </c>
      <c r="D490" s="9" t="s">
        <v>1127</v>
      </c>
      <c r="E490" s="9" t="s">
        <v>1126</v>
      </c>
      <c r="F490" s="9" t="s">
        <v>1126</v>
      </c>
      <c r="G490" s="9" t="s">
        <v>991</v>
      </c>
      <c r="H490" s="9" t="s">
        <v>327</v>
      </c>
      <c r="I490" s="9" t="s">
        <v>992</v>
      </c>
      <c r="J490" s="15">
        <v>490884</v>
      </c>
      <c r="K490" s="15">
        <v>81814</v>
      </c>
    </row>
    <row r="491" spans="1:11">
      <c r="A491" s="9">
        <f t="shared" si="7"/>
        <v>486</v>
      </c>
      <c r="B491" s="9" t="s">
        <v>1036</v>
      </c>
      <c r="C491" s="9" t="s">
        <v>53</v>
      </c>
      <c r="D491" s="9" t="s">
        <v>1128</v>
      </c>
      <c r="E491" s="9" t="s">
        <v>1126</v>
      </c>
      <c r="F491" s="9" t="s">
        <v>1126</v>
      </c>
      <c r="G491" s="9" t="s">
        <v>991</v>
      </c>
      <c r="H491" s="9" t="s">
        <v>327</v>
      </c>
      <c r="I491" s="9" t="s">
        <v>992</v>
      </c>
      <c r="J491" s="15">
        <v>451155</v>
      </c>
      <c r="K491" s="15">
        <v>75192.5</v>
      </c>
    </row>
    <row r="492" spans="1:11">
      <c r="A492" s="9">
        <f t="shared" si="7"/>
        <v>487</v>
      </c>
      <c r="B492" s="9" t="s">
        <v>1036</v>
      </c>
      <c r="C492" s="9" t="s">
        <v>71</v>
      </c>
      <c r="D492" s="9" t="s">
        <v>1129</v>
      </c>
      <c r="E492" s="9" t="s">
        <v>1126</v>
      </c>
      <c r="F492" s="9" t="s">
        <v>36</v>
      </c>
      <c r="G492" s="9" t="s">
        <v>74</v>
      </c>
      <c r="H492" s="9" t="s">
        <v>75</v>
      </c>
      <c r="I492" s="9" t="s">
        <v>38</v>
      </c>
      <c r="J492" s="15">
        <v>170900</v>
      </c>
      <c r="K492" s="15">
        <v>28483.33</v>
      </c>
    </row>
    <row r="493" spans="1:11">
      <c r="A493" s="9">
        <f t="shared" si="7"/>
        <v>488</v>
      </c>
      <c r="B493" s="9" t="s">
        <v>1036</v>
      </c>
      <c r="C493" s="9" t="s">
        <v>53</v>
      </c>
      <c r="D493" s="9" t="s">
        <v>1130</v>
      </c>
      <c r="E493" s="9" t="s">
        <v>1131</v>
      </c>
      <c r="F493" s="9" t="s">
        <v>1131</v>
      </c>
      <c r="G493" s="9" t="s">
        <v>158</v>
      </c>
      <c r="H493" s="9" t="s">
        <v>159</v>
      </c>
      <c r="I493" s="9" t="s">
        <v>160</v>
      </c>
      <c r="J493" s="15">
        <v>42000</v>
      </c>
      <c r="K493" s="15">
        <v>7000</v>
      </c>
    </row>
    <row r="494" spans="1:11">
      <c r="A494" s="9">
        <f t="shared" si="7"/>
        <v>489</v>
      </c>
      <c r="B494" s="9" t="s">
        <v>1036</v>
      </c>
      <c r="C494" s="9" t="s">
        <v>71</v>
      </c>
      <c r="D494" s="9" t="s">
        <v>1132</v>
      </c>
      <c r="E494" s="9" t="s">
        <v>1133</v>
      </c>
      <c r="F494" s="9" t="s">
        <v>36</v>
      </c>
      <c r="G494" s="9" t="s">
        <v>74</v>
      </c>
      <c r="H494" s="9" t="s">
        <v>75</v>
      </c>
      <c r="I494" s="9" t="s">
        <v>38</v>
      </c>
      <c r="J494" s="15">
        <v>103385</v>
      </c>
      <c r="K494" s="15">
        <v>17230.830000000002</v>
      </c>
    </row>
    <row r="495" spans="1:11">
      <c r="A495" s="9">
        <f t="shared" si="7"/>
        <v>490</v>
      </c>
      <c r="B495" s="9" t="s">
        <v>1036</v>
      </c>
      <c r="C495" s="9" t="s">
        <v>71</v>
      </c>
      <c r="D495" s="9" t="s">
        <v>1134</v>
      </c>
      <c r="E495" s="9" t="s">
        <v>1065</v>
      </c>
      <c r="F495" s="9" t="s">
        <v>36</v>
      </c>
      <c r="G495" s="9" t="s">
        <v>74</v>
      </c>
      <c r="H495" s="9" t="s">
        <v>75</v>
      </c>
      <c r="I495" s="9" t="s">
        <v>38</v>
      </c>
      <c r="J495" s="15">
        <v>960000</v>
      </c>
      <c r="K495" s="15">
        <v>160000</v>
      </c>
    </row>
    <row r="496" spans="1:11">
      <c r="A496" s="9">
        <f t="shared" si="7"/>
        <v>491</v>
      </c>
      <c r="B496" s="9" t="s">
        <v>1036</v>
      </c>
      <c r="C496" s="9" t="s">
        <v>71</v>
      </c>
      <c r="D496" s="9" t="s">
        <v>1135</v>
      </c>
      <c r="E496" s="9" t="s">
        <v>1092</v>
      </c>
      <c r="F496" s="9" t="s">
        <v>36</v>
      </c>
      <c r="G496" s="9" t="s">
        <v>74</v>
      </c>
      <c r="H496" s="9" t="s">
        <v>75</v>
      </c>
      <c r="I496" s="9" t="s">
        <v>38</v>
      </c>
      <c r="J496" s="15">
        <v>40000</v>
      </c>
      <c r="K496" s="15">
        <v>6666.67</v>
      </c>
    </row>
    <row r="497" spans="1:11">
      <c r="A497" s="9">
        <f t="shared" si="7"/>
        <v>492</v>
      </c>
      <c r="B497" s="9" t="s">
        <v>1036</v>
      </c>
      <c r="C497" s="9" t="s">
        <v>53</v>
      </c>
      <c r="D497" s="9" t="s">
        <v>1136</v>
      </c>
      <c r="E497" s="9" t="s">
        <v>1137</v>
      </c>
      <c r="F497" s="9" t="s">
        <v>1137</v>
      </c>
      <c r="G497" s="9" t="s">
        <v>609</v>
      </c>
      <c r="H497" s="9" t="s">
        <v>610</v>
      </c>
      <c r="I497" s="9" t="s">
        <v>611</v>
      </c>
      <c r="J497" s="15">
        <v>598080</v>
      </c>
      <c r="K497" s="15">
        <v>99680</v>
      </c>
    </row>
    <row r="498" spans="1:11">
      <c r="A498" s="9">
        <f t="shared" si="7"/>
        <v>493</v>
      </c>
      <c r="B498" s="9" t="s">
        <v>1036</v>
      </c>
      <c r="C498" s="9" t="s">
        <v>53</v>
      </c>
      <c r="D498" s="9" t="s">
        <v>1138</v>
      </c>
      <c r="E498" s="9" t="s">
        <v>1137</v>
      </c>
      <c r="F498" s="9" t="s">
        <v>1137</v>
      </c>
      <c r="G498" s="9" t="s">
        <v>102</v>
      </c>
      <c r="H498" s="9" t="s">
        <v>103</v>
      </c>
      <c r="I498" s="9" t="s">
        <v>104</v>
      </c>
      <c r="J498" s="15">
        <v>3450</v>
      </c>
      <c r="K498" s="15">
        <v>575</v>
      </c>
    </row>
    <row r="499" spans="1:11">
      <c r="A499" s="9">
        <f t="shared" si="7"/>
        <v>494</v>
      </c>
      <c r="B499" s="9" t="s">
        <v>1036</v>
      </c>
      <c r="C499" s="9" t="s">
        <v>53</v>
      </c>
      <c r="D499" s="9" t="s">
        <v>1139</v>
      </c>
      <c r="E499" s="9" t="s">
        <v>1137</v>
      </c>
      <c r="F499" s="9" t="s">
        <v>1137</v>
      </c>
      <c r="G499" s="9" t="s">
        <v>102</v>
      </c>
      <c r="H499" s="9" t="s">
        <v>103</v>
      </c>
      <c r="I499" s="9" t="s">
        <v>104</v>
      </c>
      <c r="J499" s="15">
        <v>239</v>
      </c>
      <c r="K499" s="15">
        <v>39.83</v>
      </c>
    </row>
    <row r="500" spans="1:11">
      <c r="A500" s="9">
        <f t="shared" si="7"/>
        <v>495</v>
      </c>
      <c r="B500" s="9" t="s">
        <v>1036</v>
      </c>
      <c r="C500" s="9" t="s">
        <v>53</v>
      </c>
      <c r="D500" s="9" t="s">
        <v>1140</v>
      </c>
      <c r="E500" s="9" t="s">
        <v>1141</v>
      </c>
      <c r="F500" s="9" t="s">
        <v>1141</v>
      </c>
      <c r="G500" s="9" t="s">
        <v>650</v>
      </c>
      <c r="H500" s="9" t="s">
        <v>651</v>
      </c>
      <c r="I500" s="9" t="s">
        <v>652</v>
      </c>
      <c r="J500" s="15">
        <v>100500</v>
      </c>
      <c r="K500" s="15">
        <v>16750</v>
      </c>
    </row>
    <row r="501" spans="1:11">
      <c r="A501" s="9">
        <f t="shared" si="7"/>
        <v>496</v>
      </c>
      <c r="B501" s="9" t="s">
        <v>1036</v>
      </c>
      <c r="C501" s="9" t="s">
        <v>53</v>
      </c>
      <c r="D501" s="9" t="s">
        <v>1142</v>
      </c>
      <c r="E501" s="9" t="s">
        <v>1143</v>
      </c>
      <c r="F501" s="9" t="s">
        <v>1143</v>
      </c>
      <c r="G501" s="9" t="s">
        <v>609</v>
      </c>
      <c r="H501" s="9" t="s">
        <v>610</v>
      </c>
      <c r="I501" s="9" t="s">
        <v>611</v>
      </c>
      <c r="J501" s="15">
        <v>478140</v>
      </c>
      <c r="K501" s="15">
        <v>79690</v>
      </c>
    </row>
    <row r="502" spans="1:11">
      <c r="A502" s="9">
        <f t="shared" si="7"/>
        <v>497</v>
      </c>
      <c r="B502" s="9" t="s">
        <v>1036</v>
      </c>
      <c r="C502" s="9" t="s">
        <v>53</v>
      </c>
      <c r="D502" s="9" t="s">
        <v>1144</v>
      </c>
      <c r="E502" s="9" t="s">
        <v>1143</v>
      </c>
      <c r="F502" s="9" t="s">
        <v>1143</v>
      </c>
      <c r="G502" s="9" t="s">
        <v>609</v>
      </c>
      <c r="H502" s="9" t="s">
        <v>610</v>
      </c>
      <c r="I502" s="9" t="s">
        <v>611</v>
      </c>
      <c r="J502" s="15">
        <v>475320</v>
      </c>
      <c r="K502" s="15">
        <v>79220</v>
      </c>
    </row>
    <row r="503" spans="1:11">
      <c r="A503" s="9">
        <f t="shared" si="7"/>
        <v>498</v>
      </c>
      <c r="B503" s="9" t="s">
        <v>1036</v>
      </c>
      <c r="C503" s="9" t="s">
        <v>53</v>
      </c>
      <c r="D503" s="9" t="s">
        <v>1145</v>
      </c>
      <c r="E503" s="9" t="s">
        <v>1146</v>
      </c>
      <c r="F503" s="9" t="s">
        <v>1146</v>
      </c>
      <c r="G503" s="9" t="s">
        <v>650</v>
      </c>
      <c r="H503" s="9" t="s">
        <v>651</v>
      </c>
      <c r="I503" s="9" t="s">
        <v>652</v>
      </c>
      <c r="J503" s="15">
        <v>1005000</v>
      </c>
      <c r="K503" s="15">
        <v>167500</v>
      </c>
    </row>
    <row r="504" spans="1:11">
      <c r="A504" s="9">
        <f t="shared" si="7"/>
        <v>499</v>
      </c>
      <c r="B504" s="9" t="s">
        <v>1036</v>
      </c>
      <c r="C504" s="9" t="s">
        <v>53</v>
      </c>
      <c r="D504" s="9" t="s">
        <v>1147</v>
      </c>
      <c r="E504" s="9" t="s">
        <v>1148</v>
      </c>
      <c r="F504" s="9" t="s">
        <v>1148</v>
      </c>
      <c r="G504" s="9" t="s">
        <v>158</v>
      </c>
      <c r="H504" s="9" t="s">
        <v>159</v>
      </c>
      <c r="I504" s="9" t="s">
        <v>160</v>
      </c>
      <c r="J504" s="15">
        <v>42000</v>
      </c>
      <c r="K504" s="15">
        <v>7000</v>
      </c>
    </row>
    <row r="505" spans="1:11">
      <c r="A505" s="9">
        <f t="shared" si="7"/>
        <v>500</v>
      </c>
      <c r="B505" s="9" t="s">
        <v>1036</v>
      </c>
      <c r="C505" s="9" t="s">
        <v>53</v>
      </c>
      <c r="D505" s="9" t="s">
        <v>1149</v>
      </c>
      <c r="E505" s="9" t="s">
        <v>1150</v>
      </c>
      <c r="F505" s="9" t="s">
        <v>1150</v>
      </c>
      <c r="G505" s="9" t="s">
        <v>832</v>
      </c>
      <c r="H505" s="9" t="s">
        <v>833</v>
      </c>
      <c r="I505" s="9" t="s">
        <v>834</v>
      </c>
      <c r="J505" s="15">
        <v>37200</v>
      </c>
      <c r="K505" s="15">
        <v>6200</v>
      </c>
    </row>
    <row r="506" spans="1:11">
      <c r="A506" s="9">
        <f t="shared" si="7"/>
        <v>501</v>
      </c>
      <c r="B506" s="9" t="s">
        <v>1036</v>
      </c>
      <c r="C506" s="9" t="s">
        <v>53</v>
      </c>
      <c r="D506" s="9" t="s">
        <v>1151</v>
      </c>
      <c r="E506" s="9" t="s">
        <v>1150</v>
      </c>
      <c r="F506" s="9" t="s">
        <v>1150</v>
      </c>
      <c r="G506" s="9" t="s">
        <v>832</v>
      </c>
      <c r="H506" s="9" t="s">
        <v>833</v>
      </c>
      <c r="I506" s="9" t="s">
        <v>834</v>
      </c>
      <c r="J506" s="15">
        <v>37200</v>
      </c>
      <c r="K506" s="15">
        <v>6200</v>
      </c>
    </row>
    <row r="507" spans="1:11">
      <c r="A507" s="9">
        <f t="shared" si="7"/>
        <v>502</v>
      </c>
      <c r="B507" s="9" t="s">
        <v>1036</v>
      </c>
      <c r="C507" s="9" t="s">
        <v>71</v>
      </c>
      <c r="D507" s="9" t="s">
        <v>1152</v>
      </c>
      <c r="E507" s="9" t="s">
        <v>1153</v>
      </c>
      <c r="F507" s="9" t="s">
        <v>36</v>
      </c>
      <c r="G507" s="9" t="s">
        <v>74</v>
      </c>
      <c r="H507" s="9" t="s">
        <v>75</v>
      </c>
      <c r="I507" s="9" t="s">
        <v>38</v>
      </c>
      <c r="J507" s="15">
        <v>166581</v>
      </c>
      <c r="K507" s="15">
        <v>27763.5</v>
      </c>
    </row>
    <row r="508" spans="1:11">
      <c r="A508" s="9">
        <f t="shared" si="7"/>
        <v>503</v>
      </c>
      <c r="B508" s="9" t="s">
        <v>1036</v>
      </c>
      <c r="C508" s="9" t="s">
        <v>53</v>
      </c>
      <c r="D508" s="9" t="s">
        <v>1154</v>
      </c>
      <c r="E508" s="9" t="s">
        <v>1155</v>
      </c>
      <c r="F508" s="9" t="s">
        <v>1155</v>
      </c>
      <c r="G508" s="9" t="s">
        <v>609</v>
      </c>
      <c r="H508" s="9" t="s">
        <v>610</v>
      </c>
      <c r="I508" s="9" t="s">
        <v>611</v>
      </c>
      <c r="J508" s="15">
        <v>530147.5</v>
      </c>
      <c r="K508" s="15">
        <v>88357.92</v>
      </c>
    </row>
    <row r="509" spans="1:11">
      <c r="A509" s="9">
        <f t="shared" si="7"/>
        <v>504</v>
      </c>
      <c r="B509" s="9" t="s">
        <v>1036</v>
      </c>
      <c r="C509" s="9" t="s">
        <v>53</v>
      </c>
      <c r="D509" s="9" t="s">
        <v>1156</v>
      </c>
      <c r="E509" s="9" t="s">
        <v>1157</v>
      </c>
      <c r="F509" s="9" t="s">
        <v>1157</v>
      </c>
      <c r="G509" s="9" t="s">
        <v>318</v>
      </c>
      <c r="H509" s="9" t="s">
        <v>319</v>
      </c>
      <c r="I509" s="9" t="s">
        <v>320</v>
      </c>
      <c r="J509" s="15">
        <v>4084</v>
      </c>
      <c r="K509" s="15">
        <v>581.5</v>
      </c>
    </row>
    <row r="510" spans="1:11">
      <c r="A510" s="9">
        <f t="shared" si="7"/>
        <v>505</v>
      </c>
      <c r="B510" s="9" t="s">
        <v>1036</v>
      </c>
      <c r="C510" s="9" t="s">
        <v>71</v>
      </c>
      <c r="D510" s="9" t="s">
        <v>1158</v>
      </c>
      <c r="E510" s="9" t="s">
        <v>1159</v>
      </c>
      <c r="F510" s="9" t="s">
        <v>36</v>
      </c>
      <c r="G510" s="9" t="s">
        <v>74</v>
      </c>
      <c r="H510" s="9" t="s">
        <v>75</v>
      </c>
      <c r="I510" s="9" t="s">
        <v>38</v>
      </c>
      <c r="J510" s="15">
        <v>110000</v>
      </c>
      <c r="K510" s="15">
        <v>18333.330000000002</v>
      </c>
    </row>
    <row r="511" spans="1:11">
      <c r="A511" s="9">
        <f t="shared" si="7"/>
        <v>506</v>
      </c>
      <c r="B511" s="9" t="s">
        <v>1036</v>
      </c>
      <c r="C511" s="9" t="s">
        <v>71</v>
      </c>
      <c r="D511" s="9" t="s">
        <v>1160</v>
      </c>
      <c r="E511" s="9" t="s">
        <v>1161</v>
      </c>
      <c r="F511" s="9" t="s">
        <v>36</v>
      </c>
      <c r="G511" s="9" t="s">
        <v>74</v>
      </c>
      <c r="H511" s="9" t="s">
        <v>75</v>
      </c>
      <c r="I511" s="9" t="s">
        <v>38</v>
      </c>
      <c r="J511" s="15">
        <v>1100000</v>
      </c>
      <c r="K511" s="15">
        <v>183333.33</v>
      </c>
    </row>
    <row r="512" spans="1:11">
      <c r="A512" s="9">
        <f t="shared" si="7"/>
        <v>507</v>
      </c>
      <c r="B512" s="9" t="s">
        <v>1036</v>
      </c>
      <c r="C512" s="9" t="s">
        <v>71</v>
      </c>
      <c r="D512" s="9" t="s">
        <v>1162</v>
      </c>
      <c r="E512" s="9" t="s">
        <v>1163</v>
      </c>
      <c r="F512" s="9" t="s">
        <v>36</v>
      </c>
      <c r="G512" s="9" t="s">
        <v>74</v>
      </c>
      <c r="H512" s="9" t="s">
        <v>75</v>
      </c>
      <c r="I512" s="9" t="s">
        <v>38</v>
      </c>
      <c r="J512" s="15">
        <v>178561.5</v>
      </c>
      <c r="K512" s="15">
        <v>29760.25</v>
      </c>
    </row>
    <row r="513" spans="1:11">
      <c r="A513" s="9">
        <f t="shared" si="7"/>
        <v>508</v>
      </c>
      <c r="B513" s="9" t="s">
        <v>1036</v>
      </c>
      <c r="C513" s="9" t="s">
        <v>53</v>
      </c>
      <c r="D513" s="9" t="s">
        <v>1164</v>
      </c>
      <c r="E513" s="9" t="s">
        <v>1165</v>
      </c>
      <c r="F513" s="9" t="s">
        <v>1165</v>
      </c>
      <c r="G513" s="9" t="s">
        <v>102</v>
      </c>
      <c r="H513" s="9" t="s">
        <v>103</v>
      </c>
      <c r="I513" s="9" t="s">
        <v>104</v>
      </c>
      <c r="J513" s="15">
        <v>4674</v>
      </c>
      <c r="K513" s="15">
        <v>779</v>
      </c>
    </row>
    <row r="514" spans="1:11">
      <c r="A514" s="9">
        <f t="shared" si="7"/>
        <v>509</v>
      </c>
      <c r="B514" s="9" t="s">
        <v>1036</v>
      </c>
      <c r="C514" s="9" t="s">
        <v>53</v>
      </c>
      <c r="D514" s="9" t="s">
        <v>1166</v>
      </c>
      <c r="E514" s="9" t="s">
        <v>1165</v>
      </c>
      <c r="F514" s="9" t="s">
        <v>1165</v>
      </c>
      <c r="G514" s="9" t="s">
        <v>102</v>
      </c>
      <c r="H514" s="9" t="s">
        <v>103</v>
      </c>
      <c r="I514" s="9" t="s">
        <v>104</v>
      </c>
      <c r="J514" s="15">
        <v>4837</v>
      </c>
      <c r="K514" s="15">
        <v>806.17</v>
      </c>
    </row>
    <row r="515" spans="1:11">
      <c r="A515" s="9">
        <f t="shared" si="7"/>
        <v>510</v>
      </c>
      <c r="B515" s="9" t="s">
        <v>1036</v>
      </c>
      <c r="C515" s="9" t="s">
        <v>53</v>
      </c>
      <c r="D515" s="9" t="s">
        <v>1167</v>
      </c>
      <c r="E515" s="9" t="s">
        <v>1168</v>
      </c>
      <c r="F515" s="9" t="s">
        <v>1168</v>
      </c>
      <c r="G515" s="9" t="s">
        <v>1107</v>
      </c>
      <c r="H515" s="9" t="s">
        <v>1108</v>
      </c>
      <c r="I515" s="9" t="s">
        <v>1109</v>
      </c>
      <c r="J515" s="15">
        <v>307950</v>
      </c>
      <c r="K515" s="15">
        <v>51325</v>
      </c>
    </row>
    <row r="516" spans="1:11">
      <c r="A516" s="9">
        <f t="shared" si="7"/>
        <v>511</v>
      </c>
      <c r="B516" s="9" t="s">
        <v>1036</v>
      </c>
      <c r="C516" s="9" t="s">
        <v>53</v>
      </c>
      <c r="D516" s="9" t="s">
        <v>1169</v>
      </c>
      <c r="E516" s="9" t="s">
        <v>1170</v>
      </c>
      <c r="F516" s="9" t="s">
        <v>1170</v>
      </c>
      <c r="G516" s="9" t="s">
        <v>1171</v>
      </c>
      <c r="H516" s="9" t="s">
        <v>75</v>
      </c>
      <c r="I516" s="9" t="s">
        <v>1172</v>
      </c>
      <c r="J516" s="15">
        <v>17430</v>
      </c>
      <c r="K516" s="15">
        <v>2905</v>
      </c>
    </row>
    <row r="517" spans="1:11">
      <c r="A517" s="9">
        <f t="shared" si="7"/>
        <v>512</v>
      </c>
      <c r="B517" s="9" t="s">
        <v>1036</v>
      </c>
      <c r="C517" s="9" t="s">
        <v>53</v>
      </c>
      <c r="D517" s="9" t="s">
        <v>1173</v>
      </c>
      <c r="E517" s="9" t="s">
        <v>1174</v>
      </c>
      <c r="F517" s="9" t="s">
        <v>1174</v>
      </c>
      <c r="G517" s="9" t="s">
        <v>1175</v>
      </c>
      <c r="H517" s="9" t="s">
        <v>1176</v>
      </c>
      <c r="I517" s="9" t="s">
        <v>36</v>
      </c>
      <c r="J517" s="15">
        <v>181120</v>
      </c>
      <c r="K517" s="15">
        <v>30186.67</v>
      </c>
    </row>
    <row r="518" spans="1:11">
      <c r="A518" s="9">
        <f t="shared" si="7"/>
        <v>513</v>
      </c>
      <c r="B518" s="9" t="s">
        <v>1036</v>
      </c>
      <c r="C518" s="9" t="s">
        <v>53</v>
      </c>
      <c r="D518" s="9" t="s">
        <v>1177</v>
      </c>
      <c r="E518" s="9" t="s">
        <v>1174</v>
      </c>
      <c r="F518" s="9" t="s">
        <v>1174</v>
      </c>
      <c r="G518" s="9" t="s">
        <v>1178</v>
      </c>
      <c r="H518" s="9" t="s">
        <v>36</v>
      </c>
      <c r="I518" s="9" t="s">
        <v>1179</v>
      </c>
      <c r="J518" s="15">
        <v>19760</v>
      </c>
      <c r="K518" s="15">
        <v>3293.33</v>
      </c>
    </row>
    <row r="519" spans="1:11">
      <c r="A519" s="9">
        <f t="shared" ref="A519:A582" si="8">A518+1</f>
        <v>514</v>
      </c>
      <c r="B519" s="9" t="s">
        <v>1036</v>
      </c>
      <c r="C519" s="9" t="s">
        <v>53</v>
      </c>
      <c r="D519" s="9" t="s">
        <v>1180</v>
      </c>
      <c r="E519" s="9" t="s">
        <v>1174</v>
      </c>
      <c r="F519" s="9" t="s">
        <v>1174</v>
      </c>
      <c r="G519" s="9" t="s">
        <v>1178</v>
      </c>
      <c r="H519" s="9" t="s">
        <v>36</v>
      </c>
      <c r="I519" s="9" t="s">
        <v>1179</v>
      </c>
      <c r="J519" s="15">
        <v>1000</v>
      </c>
      <c r="K519" s="15">
        <v>166.67</v>
      </c>
    </row>
    <row r="520" spans="1:11">
      <c r="A520" s="9">
        <f t="shared" si="8"/>
        <v>515</v>
      </c>
      <c r="B520" s="9" t="s">
        <v>1181</v>
      </c>
      <c r="C520" s="9" t="s">
        <v>53</v>
      </c>
      <c r="D520" s="9" t="s">
        <v>1182</v>
      </c>
      <c r="E520" s="9" t="s">
        <v>1183</v>
      </c>
      <c r="F520" s="9" t="s">
        <v>1184</v>
      </c>
      <c r="G520" s="9" t="s">
        <v>1185</v>
      </c>
      <c r="H520" s="9" t="s">
        <v>75</v>
      </c>
      <c r="I520" s="9" t="s">
        <v>1186</v>
      </c>
      <c r="J520" s="15">
        <v>67365.440000000002</v>
      </c>
      <c r="K520" s="15">
        <v>11227.58</v>
      </c>
    </row>
    <row r="521" spans="1:11">
      <c r="A521" s="9">
        <f t="shared" si="8"/>
        <v>516</v>
      </c>
      <c r="B521" s="9" t="s">
        <v>1181</v>
      </c>
      <c r="C521" s="9" t="s">
        <v>53</v>
      </c>
      <c r="D521" s="9" t="s">
        <v>1187</v>
      </c>
      <c r="E521" s="9" t="s">
        <v>1188</v>
      </c>
      <c r="F521" s="9" t="s">
        <v>1188</v>
      </c>
      <c r="G521" s="9" t="s">
        <v>1178</v>
      </c>
      <c r="H521" s="9" t="s">
        <v>36</v>
      </c>
      <c r="I521" s="9" t="s">
        <v>1179</v>
      </c>
      <c r="J521" s="15">
        <v>34750</v>
      </c>
      <c r="K521" s="15">
        <v>5791.68</v>
      </c>
    </row>
    <row r="522" spans="1:11">
      <c r="A522" s="9">
        <f t="shared" si="8"/>
        <v>517</v>
      </c>
      <c r="B522" s="9" t="s">
        <v>1181</v>
      </c>
      <c r="C522" s="9" t="s">
        <v>53</v>
      </c>
      <c r="D522" s="9" t="s">
        <v>1189</v>
      </c>
      <c r="E522" s="9" t="s">
        <v>1188</v>
      </c>
      <c r="F522" s="9" t="s">
        <v>1188</v>
      </c>
      <c r="G522" s="9" t="s">
        <v>1178</v>
      </c>
      <c r="H522" s="9" t="s">
        <v>36</v>
      </c>
      <c r="I522" s="9" t="s">
        <v>1179</v>
      </c>
      <c r="J522" s="15">
        <v>410</v>
      </c>
      <c r="K522" s="15">
        <v>68.33</v>
      </c>
    </row>
    <row r="523" spans="1:11">
      <c r="A523" s="9">
        <f t="shared" si="8"/>
        <v>518</v>
      </c>
      <c r="B523" s="9" t="s">
        <v>1181</v>
      </c>
      <c r="C523" s="9" t="s">
        <v>53</v>
      </c>
      <c r="D523" s="9" t="s">
        <v>1190</v>
      </c>
      <c r="E523" s="9" t="s">
        <v>1188</v>
      </c>
      <c r="F523" s="9" t="s">
        <v>1188</v>
      </c>
      <c r="G523" s="9" t="s">
        <v>1178</v>
      </c>
      <c r="H523" s="9" t="s">
        <v>36</v>
      </c>
      <c r="I523" s="9" t="s">
        <v>1179</v>
      </c>
      <c r="J523" s="15">
        <v>250</v>
      </c>
      <c r="K523" s="15">
        <v>41.67</v>
      </c>
    </row>
    <row r="524" spans="1:11">
      <c r="A524" s="9">
        <f t="shared" si="8"/>
        <v>519</v>
      </c>
      <c r="B524" s="9" t="s">
        <v>1181</v>
      </c>
      <c r="C524" s="9" t="s">
        <v>53</v>
      </c>
      <c r="D524" s="9" t="s">
        <v>1191</v>
      </c>
      <c r="E524" s="9" t="s">
        <v>1192</v>
      </c>
      <c r="F524" s="9" t="s">
        <v>1192</v>
      </c>
      <c r="G524" s="9" t="s">
        <v>650</v>
      </c>
      <c r="H524" s="9" t="s">
        <v>651</v>
      </c>
      <c r="I524" s="9" t="s">
        <v>652</v>
      </c>
      <c r="J524" s="15">
        <v>2010000</v>
      </c>
      <c r="K524" s="15">
        <v>335000</v>
      </c>
    </row>
    <row r="525" spans="1:11">
      <c r="A525" s="9">
        <f t="shared" si="8"/>
        <v>520</v>
      </c>
      <c r="B525" s="9" t="s">
        <v>1181</v>
      </c>
      <c r="C525" s="9" t="s">
        <v>53</v>
      </c>
      <c r="D525" s="9" t="s">
        <v>707</v>
      </c>
      <c r="E525" s="9" t="s">
        <v>1192</v>
      </c>
      <c r="F525" s="9" t="s">
        <v>1192</v>
      </c>
      <c r="G525" s="9" t="s">
        <v>888</v>
      </c>
      <c r="H525" s="9" t="s">
        <v>500</v>
      </c>
      <c r="I525" s="9" t="s">
        <v>889</v>
      </c>
      <c r="J525" s="15">
        <v>535600</v>
      </c>
      <c r="K525" s="15">
        <v>89266.67</v>
      </c>
    </row>
    <row r="526" spans="1:11">
      <c r="A526" s="9">
        <f t="shared" si="8"/>
        <v>521</v>
      </c>
      <c r="B526" s="9" t="s">
        <v>1181</v>
      </c>
      <c r="C526" s="9" t="s">
        <v>53</v>
      </c>
      <c r="D526" s="9" t="s">
        <v>1193</v>
      </c>
      <c r="E526" s="9" t="s">
        <v>1194</v>
      </c>
      <c r="F526" s="9" t="s">
        <v>1194</v>
      </c>
      <c r="G526" s="9" t="s">
        <v>832</v>
      </c>
      <c r="H526" s="9" t="s">
        <v>833</v>
      </c>
      <c r="I526" s="9" t="s">
        <v>834</v>
      </c>
      <c r="J526" s="15">
        <v>68700</v>
      </c>
      <c r="K526" s="15">
        <v>11450</v>
      </c>
    </row>
    <row r="527" spans="1:11">
      <c r="A527" s="9">
        <f t="shared" si="8"/>
        <v>522</v>
      </c>
      <c r="B527" s="9" t="s">
        <v>1181</v>
      </c>
      <c r="C527" s="9" t="s">
        <v>71</v>
      </c>
      <c r="D527" s="9" t="s">
        <v>1195</v>
      </c>
      <c r="E527" s="9" t="s">
        <v>1192</v>
      </c>
      <c r="F527" s="9" t="s">
        <v>36</v>
      </c>
      <c r="G527" s="9" t="s">
        <v>74</v>
      </c>
      <c r="H527" s="9" t="s">
        <v>75</v>
      </c>
      <c r="I527" s="9" t="s">
        <v>38</v>
      </c>
      <c r="J527" s="15">
        <v>2200000</v>
      </c>
      <c r="K527" s="15">
        <v>366666.67</v>
      </c>
    </row>
    <row r="528" spans="1:11">
      <c r="A528" s="9">
        <f t="shared" si="8"/>
        <v>523</v>
      </c>
      <c r="B528" s="9" t="s">
        <v>1181</v>
      </c>
      <c r="C528" s="9" t="s">
        <v>53</v>
      </c>
      <c r="D528" s="9" t="s">
        <v>1196</v>
      </c>
      <c r="E528" s="9" t="s">
        <v>1197</v>
      </c>
      <c r="F528" s="9" t="s">
        <v>1197</v>
      </c>
      <c r="G528" s="9" t="s">
        <v>983</v>
      </c>
      <c r="H528" s="9" t="s">
        <v>103</v>
      </c>
      <c r="I528" s="9" t="s">
        <v>984</v>
      </c>
      <c r="J528" s="15">
        <v>4717</v>
      </c>
      <c r="K528" s="15">
        <v>786.16</v>
      </c>
    </row>
    <row r="529" spans="1:11">
      <c r="A529" s="9">
        <f t="shared" si="8"/>
        <v>524</v>
      </c>
      <c r="B529" s="9" t="s">
        <v>1181</v>
      </c>
      <c r="C529" s="9" t="s">
        <v>53</v>
      </c>
      <c r="D529" s="9" t="s">
        <v>1198</v>
      </c>
      <c r="E529" s="9" t="s">
        <v>1199</v>
      </c>
      <c r="F529" s="9" t="s">
        <v>1199</v>
      </c>
      <c r="G529" s="9" t="s">
        <v>1200</v>
      </c>
      <c r="H529" s="9" t="s">
        <v>233</v>
      </c>
      <c r="I529" s="9" t="s">
        <v>1201</v>
      </c>
      <c r="J529" s="15">
        <v>499971</v>
      </c>
      <c r="K529" s="15">
        <v>83328.5</v>
      </c>
    </row>
    <row r="530" spans="1:11">
      <c r="A530" s="9">
        <f t="shared" si="8"/>
        <v>525</v>
      </c>
      <c r="B530" s="9" t="s">
        <v>1181</v>
      </c>
      <c r="C530" s="9" t="s">
        <v>71</v>
      </c>
      <c r="D530" s="9" t="s">
        <v>1202</v>
      </c>
      <c r="E530" s="9" t="s">
        <v>1199</v>
      </c>
      <c r="F530" s="9" t="s">
        <v>36</v>
      </c>
      <c r="G530" s="9" t="s">
        <v>74</v>
      </c>
      <c r="H530" s="9" t="s">
        <v>75</v>
      </c>
      <c r="I530" s="9" t="s">
        <v>38</v>
      </c>
      <c r="J530" s="15">
        <v>800000</v>
      </c>
      <c r="K530" s="15">
        <v>133333.32999999999</v>
      </c>
    </row>
    <row r="531" spans="1:11">
      <c r="A531" s="9">
        <f t="shared" si="8"/>
        <v>526</v>
      </c>
      <c r="B531" s="9" t="s">
        <v>1181</v>
      </c>
      <c r="C531" s="9" t="s">
        <v>53</v>
      </c>
      <c r="D531" s="9" t="s">
        <v>1203</v>
      </c>
      <c r="E531" s="9" t="s">
        <v>1204</v>
      </c>
      <c r="F531" s="9" t="s">
        <v>1204</v>
      </c>
      <c r="G531" s="9" t="s">
        <v>828</v>
      </c>
      <c r="H531" s="9" t="s">
        <v>75</v>
      </c>
      <c r="I531" s="9" t="s">
        <v>829</v>
      </c>
      <c r="J531" s="15">
        <v>19962.45</v>
      </c>
      <c r="K531" s="15">
        <v>3327.08</v>
      </c>
    </row>
    <row r="532" spans="1:11">
      <c r="A532" s="9">
        <f t="shared" si="8"/>
        <v>527</v>
      </c>
      <c r="B532" s="9" t="s">
        <v>1181</v>
      </c>
      <c r="C532" s="9" t="s">
        <v>53</v>
      </c>
      <c r="D532" s="9" t="s">
        <v>1205</v>
      </c>
      <c r="E532" s="9" t="s">
        <v>1206</v>
      </c>
      <c r="F532" s="9" t="s">
        <v>1206</v>
      </c>
      <c r="G532" s="9" t="s">
        <v>1185</v>
      </c>
      <c r="H532" s="9" t="s">
        <v>75</v>
      </c>
      <c r="I532" s="9" t="s">
        <v>1186</v>
      </c>
      <c r="J532" s="15">
        <v>600</v>
      </c>
      <c r="K532" s="15">
        <v>100</v>
      </c>
    </row>
    <row r="533" spans="1:11">
      <c r="A533" s="9">
        <f t="shared" si="8"/>
        <v>528</v>
      </c>
      <c r="B533" s="9" t="s">
        <v>1181</v>
      </c>
      <c r="C533" s="9" t="s">
        <v>53</v>
      </c>
      <c r="D533" s="9" t="s">
        <v>1207</v>
      </c>
      <c r="E533" s="9" t="s">
        <v>1206</v>
      </c>
      <c r="F533" s="9" t="s">
        <v>1206</v>
      </c>
      <c r="G533" s="9" t="s">
        <v>1185</v>
      </c>
      <c r="H533" s="9" t="s">
        <v>75</v>
      </c>
      <c r="I533" s="9" t="s">
        <v>1186</v>
      </c>
      <c r="J533" s="15">
        <v>40640.660000000003</v>
      </c>
      <c r="K533" s="15">
        <v>6773.44</v>
      </c>
    </row>
    <row r="534" spans="1:11">
      <c r="A534" s="9">
        <f t="shared" si="8"/>
        <v>529</v>
      </c>
      <c r="B534" s="9" t="s">
        <v>1181</v>
      </c>
      <c r="C534" s="9" t="s">
        <v>53</v>
      </c>
      <c r="D534" s="9" t="s">
        <v>1208</v>
      </c>
      <c r="E534" s="9" t="s">
        <v>1209</v>
      </c>
      <c r="F534" s="9" t="s">
        <v>1209</v>
      </c>
      <c r="G534" s="9" t="s">
        <v>318</v>
      </c>
      <c r="H534" s="9" t="s">
        <v>864</v>
      </c>
      <c r="I534" s="9" t="s">
        <v>320</v>
      </c>
      <c r="J534" s="15">
        <v>4763</v>
      </c>
      <c r="K534" s="15">
        <v>694.67</v>
      </c>
    </row>
    <row r="535" spans="1:11">
      <c r="A535" s="9">
        <f t="shared" si="8"/>
        <v>530</v>
      </c>
      <c r="B535" s="9" t="s">
        <v>1181</v>
      </c>
      <c r="C535" s="9" t="s">
        <v>53</v>
      </c>
      <c r="D535" s="9" t="s">
        <v>743</v>
      </c>
      <c r="E535" s="9" t="s">
        <v>1210</v>
      </c>
      <c r="F535" s="9" t="s">
        <v>1210</v>
      </c>
      <c r="G535" s="9" t="s">
        <v>1211</v>
      </c>
      <c r="H535" s="9" t="s">
        <v>1212</v>
      </c>
      <c r="I535" s="9" t="s">
        <v>1213</v>
      </c>
      <c r="J535" s="15">
        <v>7000</v>
      </c>
      <c r="K535" s="15">
        <v>1166.67</v>
      </c>
    </row>
    <row r="536" spans="1:11">
      <c r="A536" s="9">
        <f t="shared" si="8"/>
        <v>531</v>
      </c>
      <c r="B536" s="9" t="s">
        <v>1181</v>
      </c>
      <c r="C536" s="9" t="s">
        <v>53</v>
      </c>
      <c r="D536" s="9" t="s">
        <v>1214</v>
      </c>
      <c r="E536" s="9" t="s">
        <v>1210</v>
      </c>
      <c r="F536" s="9" t="s">
        <v>1210</v>
      </c>
      <c r="G536" s="9" t="s">
        <v>158</v>
      </c>
      <c r="H536" s="9" t="s">
        <v>159</v>
      </c>
      <c r="I536" s="9" t="s">
        <v>160</v>
      </c>
      <c r="J536" s="15">
        <v>42000</v>
      </c>
      <c r="K536" s="15">
        <v>7000</v>
      </c>
    </row>
    <row r="537" spans="1:11">
      <c r="A537" s="9">
        <f t="shared" si="8"/>
        <v>532</v>
      </c>
      <c r="B537" s="9" t="s">
        <v>1181</v>
      </c>
      <c r="C537" s="9" t="s">
        <v>53</v>
      </c>
      <c r="D537" s="9" t="s">
        <v>797</v>
      </c>
      <c r="E537" s="9" t="s">
        <v>1215</v>
      </c>
      <c r="F537" s="9" t="s">
        <v>1215</v>
      </c>
      <c r="G537" s="9" t="s">
        <v>991</v>
      </c>
      <c r="H537" s="9" t="s">
        <v>327</v>
      </c>
      <c r="I537" s="9" t="s">
        <v>992</v>
      </c>
      <c r="J537" s="15">
        <v>545778</v>
      </c>
      <c r="K537" s="15">
        <v>90963</v>
      </c>
    </row>
    <row r="538" spans="1:11">
      <c r="A538" s="9">
        <f t="shared" si="8"/>
        <v>533</v>
      </c>
      <c r="B538" s="9" t="s">
        <v>1181</v>
      </c>
      <c r="C538" s="9" t="s">
        <v>53</v>
      </c>
      <c r="D538" s="9" t="s">
        <v>1216</v>
      </c>
      <c r="E538" s="9" t="s">
        <v>1215</v>
      </c>
      <c r="F538" s="9" t="s">
        <v>1215</v>
      </c>
      <c r="G538" s="9" t="s">
        <v>888</v>
      </c>
      <c r="H538" s="9" t="s">
        <v>500</v>
      </c>
      <c r="I538" s="9" t="s">
        <v>889</v>
      </c>
      <c r="J538" s="15">
        <v>715000</v>
      </c>
      <c r="K538" s="15">
        <v>119166.67</v>
      </c>
    </row>
    <row r="539" spans="1:11">
      <c r="A539" s="9">
        <f t="shared" si="8"/>
        <v>534</v>
      </c>
      <c r="B539" s="9" t="s">
        <v>1181</v>
      </c>
      <c r="C539" s="9" t="s">
        <v>71</v>
      </c>
      <c r="D539" s="9" t="s">
        <v>815</v>
      </c>
      <c r="E539" s="9" t="s">
        <v>1210</v>
      </c>
      <c r="F539" s="9" t="s">
        <v>36</v>
      </c>
      <c r="G539" s="9" t="s">
        <v>74</v>
      </c>
      <c r="H539" s="9" t="s">
        <v>75</v>
      </c>
      <c r="I539" s="9" t="s">
        <v>38</v>
      </c>
      <c r="J539" s="15">
        <v>1560000</v>
      </c>
      <c r="K539" s="15">
        <v>260000</v>
      </c>
    </row>
    <row r="540" spans="1:11">
      <c r="A540" s="9">
        <f t="shared" si="8"/>
        <v>535</v>
      </c>
      <c r="B540" s="9" t="s">
        <v>1181</v>
      </c>
      <c r="C540" s="9" t="s">
        <v>53</v>
      </c>
      <c r="D540" s="9" t="s">
        <v>1217</v>
      </c>
      <c r="E540" s="9" t="s">
        <v>1218</v>
      </c>
      <c r="F540" s="9" t="s">
        <v>1218</v>
      </c>
      <c r="G540" s="9" t="s">
        <v>1185</v>
      </c>
      <c r="H540" s="9" t="s">
        <v>75</v>
      </c>
      <c r="I540" s="9" t="s">
        <v>1186</v>
      </c>
      <c r="J540" s="15">
        <v>15222.38</v>
      </c>
      <c r="K540" s="15">
        <v>2537.06</v>
      </c>
    </row>
    <row r="541" spans="1:11">
      <c r="A541" s="9">
        <f t="shared" si="8"/>
        <v>536</v>
      </c>
      <c r="B541" s="9" t="s">
        <v>1181</v>
      </c>
      <c r="C541" s="9" t="s">
        <v>53</v>
      </c>
      <c r="D541" s="9" t="s">
        <v>1219</v>
      </c>
      <c r="E541" s="9" t="s">
        <v>1220</v>
      </c>
      <c r="F541" s="9" t="s">
        <v>1220</v>
      </c>
      <c r="G541" s="9" t="s">
        <v>1221</v>
      </c>
      <c r="H541" s="9" t="s">
        <v>590</v>
      </c>
      <c r="I541" s="9" t="s">
        <v>1222</v>
      </c>
      <c r="J541" s="15">
        <v>100000</v>
      </c>
      <c r="K541" s="15">
        <v>16666.669999999998</v>
      </c>
    </row>
    <row r="542" spans="1:11">
      <c r="A542" s="9">
        <f t="shared" si="8"/>
        <v>537</v>
      </c>
      <c r="B542" s="9" t="s">
        <v>1181</v>
      </c>
      <c r="C542" s="9" t="s">
        <v>53</v>
      </c>
      <c r="D542" s="9" t="s">
        <v>1223</v>
      </c>
      <c r="E542" s="9" t="s">
        <v>1220</v>
      </c>
      <c r="F542" s="9" t="s">
        <v>1220</v>
      </c>
      <c r="G542" s="9" t="s">
        <v>102</v>
      </c>
      <c r="H542" s="9" t="s">
        <v>103</v>
      </c>
      <c r="I542" s="9" t="s">
        <v>104</v>
      </c>
      <c r="J542" s="15">
        <v>2936</v>
      </c>
      <c r="K542" s="15">
        <v>489.34</v>
      </c>
    </row>
    <row r="543" spans="1:11">
      <c r="A543" s="9">
        <f t="shared" si="8"/>
        <v>538</v>
      </c>
      <c r="B543" s="9" t="s">
        <v>1181</v>
      </c>
      <c r="C543" s="9" t="s">
        <v>53</v>
      </c>
      <c r="D543" s="9" t="s">
        <v>1224</v>
      </c>
      <c r="E543" s="9" t="s">
        <v>1225</v>
      </c>
      <c r="F543" s="9" t="s">
        <v>1225</v>
      </c>
      <c r="G543" s="9" t="s">
        <v>1226</v>
      </c>
      <c r="H543" s="9" t="s">
        <v>222</v>
      </c>
      <c r="I543" s="9" t="s">
        <v>1227</v>
      </c>
      <c r="J543" s="15">
        <v>5075</v>
      </c>
      <c r="K543" s="15">
        <v>845.83</v>
      </c>
    </row>
    <row r="544" spans="1:11">
      <c r="A544" s="9">
        <f t="shared" si="8"/>
        <v>539</v>
      </c>
      <c r="B544" s="9" t="s">
        <v>1181</v>
      </c>
      <c r="C544" s="9" t="s">
        <v>53</v>
      </c>
      <c r="D544" s="9" t="s">
        <v>1228</v>
      </c>
      <c r="E544" s="9" t="s">
        <v>1229</v>
      </c>
      <c r="F544" s="9" t="s">
        <v>1229</v>
      </c>
      <c r="G544" s="9" t="s">
        <v>991</v>
      </c>
      <c r="H544" s="9" t="s">
        <v>327</v>
      </c>
      <c r="I544" s="9" t="s">
        <v>992</v>
      </c>
      <c r="J544" s="15">
        <v>272430</v>
      </c>
      <c r="K544" s="15">
        <v>45405</v>
      </c>
    </row>
    <row r="545" spans="1:11">
      <c r="A545" s="9">
        <f t="shared" si="8"/>
        <v>540</v>
      </c>
      <c r="B545" s="9" t="s">
        <v>1181</v>
      </c>
      <c r="C545" s="9" t="s">
        <v>53</v>
      </c>
      <c r="D545" s="9" t="s">
        <v>388</v>
      </c>
      <c r="E545" s="9" t="s">
        <v>1230</v>
      </c>
      <c r="F545" s="9" t="s">
        <v>1230</v>
      </c>
      <c r="G545" s="9" t="s">
        <v>991</v>
      </c>
      <c r="H545" s="9" t="s">
        <v>327</v>
      </c>
      <c r="I545" s="9" t="s">
        <v>992</v>
      </c>
      <c r="J545" s="15">
        <v>411971</v>
      </c>
      <c r="K545" s="15">
        <v>68661.83</v>
      </c>
    </row>
    <row r="546" spans="1:11">
      <c r="A546" s="9">
        <f t="shared" si="8"/>
        <v>541</v>
      </c>
      <c r="B546" s="9" t="s">
        <v>1181</v>
      </c>
      <c r="C546" s="9" t="s">
        <v>53</v>
      </c>
      <c r="D546" s="9" t="s">
        <v>1231</v>
      </c>
      <c r="E546" s="9" t="s">
        <v>1230</v>
      </c>
      <c r="F546" s="9" t="s">
        <v>1230</v>
      </c>
      <c r="G546" s="9" t="s">
        <v>1226</v>
      </c>
      <c r="H546" s="9" t="s">
        <v>222</v>
      </c>
      <c r="I546" s="9" t="s">
        <v>1227</v>
      </c>
      <c r="J546" s="15">
        <v>10150</v>
      </c>
      <c r="K546" s="15">
        <v>1691.67</v>
      </c>
    </row>
    <row r="547" spans="1:11">
      <c r="A547" s="9">
        <f t="shared" si="8"/>
        <v>542</v>
      </c>
      <c r="B547" s="9" t="s">
        <v>1181</v>
      </c>
      <c r="C547" s="9" t="s">
        <v>71</v>
      </c>
      <c r="D547" s="9" t="s">
        <v>122</v>
      </c>
      <c r="E547" s="9" t="s">
        <v>1220</v>
      </c>
      <c r="F547" s="9" t="s">
        <v>36</v>
      </c>
      <c r="G547" s="9" t="s">
        <v>74</v>
      </c>
      <c r="H547" s="9" t="s">
        <v>75</v>
      </c>
      <c r="I547" s="9" t="s">
        <v>38</v>
      </c>
      <c r="J547" s="15">
        <v>117000</v>
      </c>
      <c r="K547" s="15">
        <v>19500</v>
      </c>
    </row>
    <row r="548" spans="1:11">
      <c r="A548" s="9">
        <f t="shared" si="8"/>
        <v>543</v>
      </c>
      <c r="B548" s="9" t="s">
        <v>1181</v>
      </c>
      <c r="C548" s="9" t="s">
        <v>53</v>
      </c>
      <c r="D548" s="9" t="s">
        <v>1029</v>
      </c>
      <c r="E548" s="9" t="s">
        <v>1232</v>
      </c>
      <c r="F548" s="9" t="s">
        <v>1232</v>
      </c>
      <c r="G548" s="9" t="s">
        <v>1233</v>
      </c>
      <c r="H548" s="9" t="s">
        <v>300</v>
      </c>
      <c r="I548" s="9" t="s">
        <v>1234</v>
      </c>
      <c r="J548" s="15">
        <v>4200</v>
      </c>
      <c r="K548" s="15">
        <v>700</v>
      </c>
    </row>
    <row r="549" spans="1:11">
      <c r="A549" s="9">
        <f t="shared" si="8"/>
        <v>544</v>
      </c>
      <c r="B549" s="9" t="s">
        <v>1181</v>
      </c>
      <c r="C549" s="9" t="s">
        <v>53</v>
      </c>
      <c r="D549" s="9" t="s">
        <v>466</v>
      </c>
      <c r="E549" s="9" t="s">
        <v>1235</v>
      </c>
      <c r="F549" s="9" t="s">
        <v>1235</v>
      </c>
      <c r="G549" s="9" t="s">
        <v>1185</v>
      </c>
      <c r="H549" s="9" t="s">
        <v>75</v>
      </c>
      <c r="I549" s="9" t="s">
        <v>1186</v>
      </c>
      <c r="J549" s="15">
        <v>40820.269999999997</v>
      </c>
      <c r="K549" s="15">
        <v>6803.38</v>
      </c>
    </row>
    <row r="550" spans="1:11">
      <c r="A550" s="9">
        <f t="shared" si="8"/>
        <v>545</v>
      </c>
      <c r="B550" s="9" t="s">
        <v>1181</v>
      </c>
      <c r="C550" s="9" t="s">
        <v>53</v>
      </c>
      <c r="D550" s="9" t="s">
        <v>1236</v>
      </c>
      <c r="E550" s="9" t="s">
        <v>1235</v>
      </c>
      <c r="F550" s="9" t="s">
        <v>1235</v>
      </c>
      <c r="G550" s="9" t="s">
        <v>1237</v>
      </c>
      <c r="H550" s="9" t="s">
        <v>1238</v>
      </c>
      <c r="I550" s="9" t="s">
        <v>1239</v>
      </c>
      <c r="J550" s="15">
        <v>41500</v>
      </c>
      <c r="K550" s="15">
        <v>6916.67</v>
      </c>
    </row>
    <row r="551" spans="1:11">
      <c r="A551" s="9">
        <f t="shared" si="8"/>
        <v>546</v>
      </c>
      <c r="B551" s="9" t="s">
        <v>1181</v>
      </c>
      <c r="C551" s="9" t="s">
        <v>53</v>
      </c>
      <c r="D551" s="9" t="s">
        <v>1240</v>
      </c>
      <c r="E551" s="9" t="s">
        <v>1235</v>
      </c>
      <c r="F551" s="9" t="s">
        <v>1235</v>
      </c>
      <c r="G551" s="9" t="s">
        <v>1185</v>
      </c>
      <c r="H551" s="9" t="s">
        <v>75</v>
      </c>
      <c r="I551" s="9" t="s">
        <v>1186</v>
      </c>
      <c r="J551" s="15">
        <v>3000</v>
      </c>
      <c r="K551" s="15">
        <v>500</v>
      </c>
    </row>
    <row r="552" spans="1:11">
      <c r="A552" s="9">
        <f t="shared" si="8"/>
        <v>547</v>
      </c>
      <c r="B552" s="9" t="s">
        <v>1181</v>
      </c>
      <c r="C552" s="9" t="s">
        <v>53</v>
      </c>
      <c r="D552" s="9" t="s">
        <v>1241</v>
      </c>
      <c r="E552" s="9" t="s">
        <v>1242</v>
      </c>
      <c r="F552" s="9" t="s">
        <v>1242</v>
      </c>
      <c r="G552" s="9" t="s">
        <v>162</v>
      </c>
      <c r="H552" s="9" t="s">
        <v>163</v>
      </c>
      <c r="I552" s="9" t="s">
        <v>164</v>
      </c>
      <c r="J552" s="15">
        <v>8600</v>
      </c>
      <c r="K552" s="15">
        <v>1433.33</v>
      </c>
    </row>
    <row r="553" spans="1:11">
      <c r="A553" s="9">
        <f t="shared" si="8"/>
        <v>548</v>
      </c>
      <c r="B553" s="9" t="s">
        <v>1181</v>
      </c>
      <c r="C553" s="9" t="s">
        <v>53</v>
      </c>
      <c r="D553" s="9" t="s">
        <v>1243</v>
      </c>
      <c r="E553" s="9" t="s">
        <v>1242</v>
      </c>
      <c r="F553" s="9" t="s">
        <v>1242</v>
      </c>
      <c r="G553" s="9" t="s">
        <v>1244</v>
      </c>
      <c r="H553" s="9" t="s">
        <v>1245</v>
      </c>
      <c r="I553" s="9" t="s">
        <v>1246</v>
      </c>
      <c r="J553" s="15">
        <v>3330</v>
      </c>
      <c r="K553" s="15">
        <v>555</v>
      </c>
    </row>
    <row r="554" spans="1:11">
      <c r="A554" s="9">
        <f t="shared" si="8"/>
        <v>549</v>
      </c>
      <c r="B554" s="9" t="s">
        <v>1181</v>
      </c>
      <c r="C554" s="9" t="s">
        <v>53</v>
      </c>
      <c r="D554" s="9" t="s">
        <v>1247</v>
      </c>
      <c r="E554" s="9" t="s">
        <v>1242</v>
      </c>
      <c r="F554" s="9" t="s">
        <v>1242</v>
      </c>
      <c r="G554" s="9" t="s">
        <v>1200</v>
      </c>
      <c r="H554" s="9" t="s">
        <v>233</v>
      </c>
      <c r="I554" s="9" t="s">
        <v>1201</v>
      </c>
      <c r="J554" s="15">
        <v>813010</v>
      </c>
      <c r="K554" s="15">
        <v>135501.67000000001</v>
      </c>
    </row>
    <row r="555" spans="1:11">
      <c r="A555" s="9">
        <f t="shared" si="8"/>
        <v>550</v>
      </c>
      <c r="B555" s="9" t="s">
        <v>1181</v>
      </c>
      <c r="C555" s="9" t="s">
        <v>71</v>
      </c>
      <c r="D555" s="9" t="s">
        <v>1248</v>
      </c>
      <c r="E555" s="9" t="s">
        <v>1220</v>
      </c>
      <c r="F555" s="9" t="s">
        <v>36</v>
      </c>
      <c r="G555" s="9" t="s">
        <v>74</v>
      </c>
      <c r="H555" s="9" t="s">
        <v>75</v>
      </c>
      <c r="I555" s="9" t="s">
        <v>38</v>
      </c>
      <c r="J555" s="15">
        <v>2200000</v>
      </c>
      <c r="K555" s="15">
        <v>324005</v>
      </c>
    </row>
    <row r="556" spans="1:11" ht="30">
      <c r="A556" s="9">
        <f t="shared" si="8"/>
        <v>551</v>
      </c>
      <c r="B556" s="9" t="s">
        <v>1181</v>
      </c>
      <c r="C556" s="9" t="s">
        <v>53</v>
      </c>
      <c r="D556" s="9" t="s">
        <v>1249</v>
      </c>
      <c r="E556" s="9" t="s">
        <v>1250</v>
      </c>
      <c r="F556" s="9" t="s">
        <v>1250</v>
      </c>
      <c r="G556" s="9" t="s">
        <v>983</v>
      </c>
      <c r="H556" s="9" t="s">
        <v>103</v>
      </c>
      <c r="I556" s="9" t="s">
        <v>984</v>
      </c>
      <c r="J556" s="15">
        <v>1267</v>
      </c>
      <c r="K556" s="15">
        <v>128.83000000000001</v>
      </c>
    </row>
    <row r="557" spans="1:11">
      <c r="A557" s="9">
        <f t="shared" si="8"/>
        <v>552</v>
      </c>
      <c r="B557" s="9" t="s">
        <v>1181</v>
      </c>
      <c r="C557" s="9" t="s">
        <v>53</v>
      </c>
      <c r="D557" s="9" t="s">
        <v>1251</v>
      </c>
      <c r="E557" s="9" t="s">
        <v>1250</v>
      </c>
      <c r="F557" s="9" t="s">
        <v>1250</v>
      </c>
      <c r="G557" s="9" t="s">
        <v>102</v>
      </c>
      <c r="H557" s="9" t="s">
        <v>103</v>
      </c>
      <c r="I557" s="9" t="s">
        <v>104</v>
      </c>
      <c r="J557" s="15">
        <v>11495</v>
      </c>
      <c r="K557" s="15">
        <v>1915.84</v>
      </c>
    </row>
    <row r="558" spans="1:11">
      <c r="A558" s="9">
        <f t="shared" si="8"/>
        <v>553</v>
      </c>
      <c r="B558" s="9" t="s">
        <v>1181</v>
      </c>
      <c r="C558" s="9" t="s">
        <v>53</v>
      </c>
      <c r="D558" s="9" t="s">
        <v>1202</v>
      </c>
      <c r="E558" s="9" t="s">
        <v>1252</v>
      </c>
      <c r="F558" s="9" t="s">
        <v>1252</v>
      </c>
      <c r="G558" s="9" t="s">
        <v>1253</v>
      </c>
      <c r="H558" s="9" t="s">
        <v>1254</v>
      </c>
      <c r="I558" s="9" t="s">
        <v>1255</v>
      </c>
      <c r="J558" s="15">
        <v>51450</v>
      </c>
      <c r="K558" s="15">
        <v>8575</v>
      </c>
    </row>
    <row r="559" spans="1:11">
      <c r="A559" s="9">
        <f t="shared" si="8"/>
        <v>554</v>
      </c>
      <c r="B559" s="9" t="s">
        <v>1181</v>
      </c>
      <c r="C559" s="9" t="s">
        <v>53</v>
      </c>
      <c r="D559" s="9" t="s">
        <v>1256</v>
      </c>
      <c r="E559" s="9" t="s">
        <v>1257</v>
      </c>
      <c r="F559" s="9" t="s">
        <v>1257</v>
      </c>
      <c r="G559" s="9" t="s">
        <v>318</v>
      </c>
      <c r="H559" s="9" t="s">
        <v>864</v>
      </c>
      <c r="I559" s="9" t="s">
        <v>320</v>
      </c>
      <c r="J559" s="15">
        <v>1293</v>
      </c>
      <c r="K559" s="15">
        <v>183.67</v>
      </c>
    </row>
    <row r="560" spans="1:11">
      <c r="A560" s="9">
        <f t="shared" si="8"/>
        <v>555</v>
      </c>
      <c r="B560" s="9" t="s">
        <v>1181</v>
      </c>
      <c r="C560" s="9" t="s">
        <v>53</v>
      </c>
      <c r="D560" s="9" t="s">
        <v>1258</v>
      </c>
      <c r="E560" s="9" t="s">
        <v>1257</v>
      </c>
      <c r="F560" s="9" t="s">
        <v>1257</v>
      </c>
      <c r="G560" s="9" t="s">
        <v>991</v>
      </c>
      <c r="H560" s="9" t="s">
        <v>327</v>
      </c>
      <c r="I560" s="9" t="s">
        <v>992</v>
      </c>
      <c r="J560" s="15">
        <v>434775</v>
      </c>
      <c r="K560" s="15">
        <v>72462.5</v>
      </c>
    </row>
    <row r="561" spans="1:11">
      <c r="A561" s="9">
        <f t="shared" si="8"/>
        <v>556</v>
      </c>
      <c r="B561" s="9" t="s">
        <v>1181</v>
      </c>
      <c r="C561" s="9" t="s">
        <v>53</v>
      </c>
      <c r="D561" s="9" t="s">
        <v>1259</v>
      </c>
      <c r="E561" s="9" t="s">
        <v>1260</v>
      </c>
      <c r="F561" s="9" t="s">
        <v>1260</v>
      </c>
      <c r="G561" s="9" t="s">
        <v>313</v>
      </c>
      <c r="H561" s="9" t="s">
        <v>314</v>
      </c>
      <c r="I561" s="9" t="s">
        <v>315</v>
      </c>
      <c r="J561" s="15">
        <v>33600</v>
      </c>
      <c r="K561" s="15">
        <v>5600</v>
      </c>
    </row>
    <row r="562" spans="1:11">
      <c r="A562" s="9">
        <f t="shared" si="8"/>
        <v>557</v>
      </c>
      <c r="B562" s="9" t="s">
        <v>1181</v>
      </c>
      <c r="C562" s="9" t="s">
        <v>53</v>
      </c>
      <c r="D562" s="9" t="s">
        <v>450</v>
      </c>
      <c r="E562" s="9" t="s">
        <v>1261</v>
      </c>
      <c r="F562" s="9" t="s">
        <v>1261</v>
      </c>
      <c r="G562" s="9" t="s">
        <v>56</v>
      </c>
      <c r="H562" s="9" t="s">
        <v>1262</v>
      </c>
      <c r="I562" s="9" t="s">
        <v>58</v>
      </c>
      <c r="J562" s="15">
        <v>542000</v>
      </c>
      <c r="K562" s="15">
        <v>90333.33</v>
      </c>
    </row>
    <row r="563" spans="1:11">
      <c r="A563" s="9">
        <f t="shared" si="8"/>
        <v>558</v>
      </c>
      <c r="B563" s="9" t="s">
        <v>1181</v>
      </c>
      <c r="C563" s="9" t="s">
        <v>53</v>
      </c>
      <c r="D563" s="9" t="s">
        <v>1263</v>
      </c>
      <c r="E563" s="9" t="s">
        <v>1264</v>
      </c>
      <c r="F563" s="9" t="s">
        <v>1264</v>
      </c>
      <c r="G563" s="9" t="s">
        <v>1185</v>
      </c>
      <c r="H563" s="9" t="s">
        <v>75</v>
      </c>
      <c r="I563" s="9" t="s">
        <v>1186</v>
      </c>
      <c r="J563" s="15">
        <v>26510.04</v>
      </c>
      <c r="K563" s="15">
        <v>4418.34</v>
      </c>
    </row>
    <row r="564" spans="1:11">
      <c r="A564" s="9">
        <f t="shared" si="8"/>
        <v>559</v>
      </c>
      <c r="B564" s="9" t="s">
        <v>1181</v>
      </c>
      <c r="C564" s="9" t="s">
        <v>53</v>
      </c>
      <c r="D564" s="9" t="s">
        <v>1265</v>
      </c>
      <c r="E564" s="9" t="s">
        <v>1264</v>
      </c>
      <c r="F564" s="9" t="s">
        <v>1264</v>
      </c>
      <c r="G564" s="9" t="s">
        <v>318</v>
      </c>
      <c r="H564" s="9" t="s">
        <v>864</v>
      </c>
      <c r="I564" s="9" t="s">
        <v>320</v>
      </c>
      <c r="J564" s="15">
        <v>300</v>
      </c>
      <c r="K564" s="15">
        <v>50</v>
      </c>
    </row>
    <row r="565" spans="1:11">
      <c r="A565" s="9">
        <f t="shared" si="8"/>
        <v>560</v>
      </c>
      <c r="B565" s="9" t="s">
        <v>1181</v>
      </c>
      <c r="C565" s="9" t="s">
        <v>53</v>
      </c>
      <c r="D565" s="9" t="s">
        <v>1266</v>
      </c>
      <c r="E565" s="9" t="s">
        <v>1264</v>
      </c>
      <c r="F565" s="9" t="s">
        <v>1264</v>
      </c>
      <c r="G565" s="9" t="s">
        <v>318</v>
      </c>
      <c r="H565" s="9" t="s">
        <v>864</v>
      </c>
      <c r="I565" s="9" t="s">
        <v>320</v>
      </c>
      <c r="J565" s="15">
        <v>792</v>
      </c>
      <c r="K565" s="15">
        <v>114</v>
      </c>
    </row>
    <row r="566" spans="1:11">
      <c r="A566" s="9">
        <f t="shared" si="8"/>
        <v>561</v>
      </c>
      <c r="B566" s="9" t="s">
        <v>1181</v>
      </c>
      <c r="C566" s="9" t="s">
        <v>53</v>
      </c>
      <c r="D566" s="9" t="s">
        <v>1267</v>
      </c>
      <c r="E566" s="9" t="s">
        <v>1264</v>
      </c>
      <c r="F566" s="9" t="s">
        <v>1264</v>
      </c>
      <c r="G566" s="9" t="s">
        <v>102</v>
      </c>
      <c r="H566" s="9" t="s">
        <v>103</v>
      </c>
      <c r="I566" s="9" t="s">
        <v>104</v>
      </c>
      <c r="J566" s="15">
        <v>1775</v>
      </c>
      <c r="K566" s="15">
        <v>295.83</v>
      </c>
    </row>
    <row r="567" spans="1:11">
      <c r="A567" s="9">
        <f t="shared" si="8"/>
        <v>562</v>
      </c>
      <c r="B567" s="9" t="s">
        <v>1181</v>
      </c>
      <c r="C567" s="9" t="s">
        <v>53</v>
      </c>
      <c r="D567" s="9" t="s">
        <v>1268</v>
      </c>
      <c r="E567" s="9" t="s">
        <v>1264</v>
      </c>
      <c r="F567" s="9" t="s">
        <v>1264</v>
      </c>
      <c r="G567" s="9" t="s">
        <v>1200</v>
      </c>
      <c r="H567" s="9" t="s">
        <v>233</v>
      </c>
      <c r="I567" s="9" t="s">
        <v>1201</v>
      </c>
      <c r="J567" s="15">
        <v>772970</v>
      </c>
      <c r="K567" s="15">
        <v>128828.33</v>
      </c>
    </row>
    <row r="568" spans="1:11">
      <c r="A568" s="9">
        <f t="shared" si="8"/>
        <v>563</v>
      </c>
      <c r="B568" s="9" t="s">
        <v>1181</v>
      </c>
      <c r="C568" s="9" t="s">
        <v>53</v>
      </c>
      <c r="D568" s="9" t="s">
        <v>1269</v>
      </c>
      <c r="E568" s="9" t="s">
        <v>1270</v>
      </c>
      <c r="F568" s="9" t="s">
        <v>1270</v>
      </c>
      <c r="G568" s="9" t="s">
        <v>1237</v>
      </c>
      <c r="H568" s="9" t="s">
        <v>1238</v>
      </c>
      <c r="I568" s="9" t="s">
        <v>1239</v>
      </c>
      <c r="J568" s="15">
        <v>41500</v>
      </c>
      <c r="K568" s="15">
        <v>6916.67</v>
      </c>
    </row>
    <row r="569" spans="1:11">
      <c r="A569" s="9">
        <f t="shared" si="8"/>
        <v>564</v>
      </c>
      <c r="B569" s="9" t="s">
        <v>1181</v>
      </c>
      <c r="C569" s="9" t="s">
        <v>53</v>
      </c>
      <c r="D569" s="9" t="s">
        <v>1271</v>
      </c>
      <c r="E569" s="9" t="s">
        <v>1272</v>
      </c>
      <c r="F569" s="9" t="s">
        <v>1272</v>
      </c>
      <c r="G569" s="9" t="s">
        <v>56</v>
      </c>
      <c r="H569" s="9" t="s">
        <v>1262</v>
      </c>
      <c r="I569" s="9" t="s">
        <v>58</v>
      </c>
      <c r="J569" s="15">
        <v>446040</v>
      </c>
      <c r="K569" s="15">
        <v>74340</v>
      </c>
    </row>
    <row r="570" spans="1:11" ht="30">
      <c r="A570" s="9">
        <f t="shared" si="8"/>
        <v>565</v>
      </c>
      <c r="B570" s="9" t="s">
        <v>1181</v>
      </c>
      <c r="C570" s="9" t="s">
        <v>53</v>
      </c>
      <c r="D570" s="9" t="s">
        <v>1273</v>
      </c>
      <c r="E570" s="9" t="s">
        <v>1274</v>
      </c>
      <c r="F570" s="9" t="s">
        <v>1274</v>
      </c>
      <c r="G570" s="9" t="s">
        <v>983</v>
      </c>
      <c r="H570" s="9" t="s">
        <v>103</v>
      </c>
      <c r="I570" s="9" t="s">
        <v>984</v>
      </c>
      <c r="J570" s="15">
        <v>10362</v>
      </c>
      <c r="K570" s="15">
        <v>1727</v>
      </c>
    </row>
    <row r="571" spans="1:11">
      <c r="A571" s="9">
        <f t="shared" si="8"/>
        <v>566</v>
      </c>
      <c r="B571" s="9" t="s">
        <v>1181</v>
      </c>
      <c r="C571" s="9" t="s">
        <v>53</v>
      </c>
      <c r="D571" s="9" t="s">
        <v>1275</v>
      </c>
      <c r="E571" s="9" t="s">
        <v>1274</v>
      </c>
      <c r="F571" s="9" t="s">
        <v>1274</v>
      </c>
      <c r="G571" s="9" t="s">
        <v>1233</v>
      </c>
      <c r="H571" s="9" t="s">
        <v>300</v>
      </c>
      <c r="I571" s="9" t="s">
        <v>1234</v>
      </c>
      <c r="J571" s="15">
        <v>4200</v>
      </c>
      <c r="K571" s="15">
        <v>700</v>
      </c>
    </row>
    <row r="572" spans="1:11">
      <c r="A572" s="9">
        <f t="shared" si="8"/>
        <v>567</v>
      </c>
      <c r="B572" s="9" t="s">
        <v>1181</v>
      </c>
      <c r="C572" s="9" t="s">
        <v>53</v>
      </c>
      <c r="D572" s="9" t="s">
        <v>1276</v>
      </c>
      <c r="E572" s="9" t="s">
        <v>1277</v>
      </c>
      <c r="F572" s="9" t="s">
        <v>1277</v>
      </c>
      <c r="G572" s="9" t="s">
        <v>956</v>
      </c>
      <c r="H572" s="9" t="s">
        <v>103</v>
      </c>
      <c r="I572" s="9" t="s">
        <v>957</v>
      </c>
      <c r="J572" s="15">
        <v>2419</v>
      </c>
      <c r="K572" s="15">
        <v>403.17</v>
      </c>
    </row>
    <row r="573" spans="1:11" ht="30">
      <c r="A573" s="9">
        <f t="shared" si="8"/>
        <v>568</v>
      </c>
      <c r="B573" s="9" t="s">
        <v>1181</v>
      </c>
      <c r="C573" s="9" t="s">
        <v>53</v>
      </c>
      <c r="D573" s="9" t="s">
        <v>1278</v>
      </c>
      <c r="E573" s="9" t="s">
        <v>1279</v>
      </c>
      <c r="F573" s="9" t="s">
        <v>1279</v>
      </c>
      <c r="G573" s="9" t="s">
        <v>983</v>
      </c>
      <c r="H573" s="9" t="s">
        <v>103</v>
      </c>
      <c r="I573" s="9" t="s">
        <v>984</v>
      </c>
      <c r="J573" s="15">
        <v>4713</v>
      </c>
      <c r="K573" s="15">
        <v>785.5</v>
      </c>
    </row>
    <row r="574" spans="1:11">
      <c r="A574" s="9">
        <f t="shared" si="8"/>
        <v>569</v>
      </c>
      <c r="B574" s="9" t="s">
        <v>1181</v>
      </c>
      <c r="C574" s="9" t="s">
        <v>71</v>
      </c>
      <c r="D574" s="9" t="s">
        <v>820</v>
      </c>
      <c r="E574" s="9" t="s">
        <v>1242</v>
      </c>
      <c r="F574" s="9" t="s">
        <v>36</v>
      </c>
      <c r="G574" s="9" t="s">
        <v>74</v>
      </c>
      <c r="H574" s="9" t="s">
        <v>75</v>
      </c>
      <c r="I574" s="9" t="s">
        <v>38</v>
      </c>
      <c r="J574" s="15">
        <v>780000</v>
      </c>
      <c r="K574" s="15">
        <v>130000</v>
      </c>
    </row>
    <row r="575" spans="1:11">
      <c r="A575" s="9">
        <f t="shared" si="8"/>
        <v>570</v>
      </c>
      <c r="B575" s="9" t="s">
        <v>1181</v>
      </c>
      <c r="C575" s="9" t="s">
        <v>71</v>
      </c>
      <c r="D575" s="9" t="s">
        <v>71</v>
      </c>
      <c r="E575" s="9" t="s">
        <v>1257</v>
      </c>
      <c r="F575" s="9" t="s">
        <v>36</v>
      </c>
      <c r="G575" s="9" t="s">
        <v>74</v>
      </c>
      <c r="H575" s="9" t="s">
        <v>75</v>
      </c>
      <c r="I575" s="9" t="s">
        <v>38</v>
      </c>
      <c r="J575" s="15">
        <v>546000</v>
      </c>
      <c r="K575" s="15">
        <v>77089.67</v>
      </c>
    </row>
    <row r="576" spans="1:11">
      <c r="A576" s="9">
        <f t="shared" si="8"/>
        <v>571</v>
      </c>
      <c r="B576" s="9" t="s">
        <v>1181</v>
      </c>
      <c r="C576" s="9" t="s">
        <v>53</v>
      </c>
      <c r="D576" s="9" t="s">
        <v>1280</v>
      </c>
      <c r="E576" s="9" t="s">
        <v>1281</v>
      </c>
      <c r="F576" s="9" t="s">
        <v>1281</v>
      </c>
      <c r="G576" s="9" t="s">
        <v>318</v>
      </c>
      <c r="H576" s="9" t="s">
        <v>864</v>
      </c>
      <c r="I576" s="9" t="s">
        <v>320</v>
      </c>
      <c r="J576" s="15">
        <v>1157</v>
      </c>
      <c r="K576" s="15">
        <v>181</v>
      </c>
    </row>
    <row r="577" spans="1:11">
      <c r="A577" s="9">
        <f t="shared" si="8"/>
        <v>572</v>
      </c>
      <c r="B577" s="9" t="s">
        <v>1181</v>
      </c>
      <c r="C577" s="9" t="s">
        <v>53</v>
      </c>
      <c r="D577" s="9" t="s">
        <v>1282</v>
      </c>
      <c r="E577" s="9" t="s">
        <v>1283</v>
      </c>
      <c r="F577" s="9" t="s">
        <v>1283</v>
      </c>
      <c r="G577" s="9" t="s">
        <v>1185</v>
      </c>
      <c r="H577" s="9" t="s">
        <v>75</v>
      </c>
      <c r="I577" s="9" t="s">
        <v>1186</v>
      </c>
      <c r="J577" s="15">
        <v>152116.48000000001</v>
      </c>
      <c r="K577" s="15">
        <v>25352.75</v>
      </c>
    </row>
    <row r="578" spans="1:11">
      <c r="A578" s="9">
        <f t="shared" si="8"/>
        <v>573</v>
      </c>
      <c r="B578" s="9" t="s">
        <v>1181</v>
      </c>
      <c r="C578" s="9" t="s">
        <v>53</v>
      </c>
      <c r="D578" s="9" t="s">
        <v>1284</v>
      </c>
      <c r="E578" s="9" t="s">
        <v>1283</v>
      </c>
      <c r="F578" s="9" t="s">
        <v>1283</v>
      </c>
      <c r="G578" s="9" t="s">
        <v>1185</v>
      </c>
      <c r="H578" s="9" t="s">
        <v>75</v>
      </c>
      <c r="I578" s="9" t="s">
        <v>1186</v>
      </c>
      <c r="J578" s="15">
        <v>3000</v>
      </c>
      <c r="K578" s="15">
        <v>500</v>
      </c>
    </row>
    <row r="579" spans="1:11">
      <c r="A579" s="9">
        <f t="shared" si="8"/>
        <v>574</v>
      </c>
      <c r="B579" s="9" t="s">
        <v>1181</v>
      </c>
      <c r="C579" s="9" t="s">
        <v>53</v>
      </c>
      <c r="D579" s="9" t="s">
        <v>260</v>
      </c>
      <c r="E579" s="9" t="s">
        <v>1283</v>
      </c>
      <c r="F579" s="9" t="s">
        <v>1283</v>
      </c>
      <c r="G579" s="9" t="s">
        <v>1285</v>
      </c>
      <c r="H579" s="9" t="s">
        <v>68</v>
      </c>
      <c r="I579" s="9" t="s">
        <v>1286</v>
      </c>
      <c r="J579" s="15">
        <v>433080</v>
      </c>
      <c r="K579" s="15">
        <v>72180</v>
      </c>
    </row>
    <row r="580" spans="1:11">
      <c r="A580" s="9">
        <f t="shared" si="8"/>
        <v>575</v>
      </c>
      <c r="B580" s="9" t="s">
        <v>1287</v>
      </c>
      <c r="C580" s="9" t="s">
        <v>255</v>
      </c>
      <c r="D580" s="9" t="s">
        <v>1288</v>
      </c>
      <c r="E580" s="9" t="s">
        <v>1289</v>
      </c>
      <c r="F580" s="9" t="s">
        <v>36</v>
      </c>
      <c r="G580" s="9" t="s">
        <v>1290</v>
      </c>
      <c r="H580" s="9" t="s">
        <v>1291</v>
      </c>
      <c r="I580" s="9" t="s">
        <v>1292</v>
      </c>
      <c r="J580" s="15">
        <v>410000</v>
      </c>
      <c r="K580" s="15">
        <v>68333.33</v>
      </c>
    </row>
    <row r="581" spans="1:11">
      <c r="A581" s="9">
        <f t="shared" si="8"/>
        <v>576</v>
      </c>
      <c r="B581" s="9" t="s">
        <v>1287</v>
      </c>
      <c r="C581" s="9" t="s">
        <v>53</v>
      </c>
      <c r="D581" s="9" t="s">
        <v>1293</v>
      </c>
      <c r="E581" s="9" t="s">
        <v>1294</v>
      </c>
      <c r="F581" s="9" t="s">
        <v>1294</v>
      </c>
      <c r="G581" s="9" t="s">
        <v>102</v>
      </c>
      <c r="H581" s="9" t="s">
        <v>103</v>
      </c>
      <c r="I581" s="9" t="s">
        <v>104</v>
      </c>
      <c r="J581" s="15">
        <v>766</v>
      </c>
      <c r="K581" s="15">
        <v>127.67</v>
      </c>
    </row>
    <row r="582" spans="1:11">
      <c r="A582" s="9">
        <f t="shared" si="8"/>
        <v>577</v>
      </c>
      <c r="B582" s="9" t="s">
        <v>1287</v>
      </c>
      <c r="C582" s="9" t="s">
        <v>53</v>
      </c>
      <c r="D582" s="9" t="s">
        <v>1295</v>
      </c>
      <c r="E582" s="9" t="s">
        <v>1294</v>
      </c>
      <c r="F582" s="9" t="s">
        <v>1294</v>
      </c>
      <c r="G582" s="9" t="s">
        <v>102</v>
      </c>
      <c r="H582" s="9" t="s">
        <v>103</v>
      </c>
      <c r="I582" s="9" t="s">
        <v>104</v>
      </c>
      <c r="J582" s="15">
        <v>5944</v>
      </c>
      <c r="K582" s="15">
        <v>990.66</v>
      </c>
    </row>
    <row r="583" spans="1:11">
      <c r="A583" s="9">
        <f t="shared" ref="A583:A646" si="9">A582+1</f>
        <v>578</v>
      </c>
      <c r="B583" s="9" t="s">
        <v>1287</v>
      </c>
      <c r="C583" s="9" t="s">
        <v>53</v>
      </c>
      <c r="D583" s="9" t="s">
        <v>1296</v>
      </c>
      <c r="E583" s="9" t="s">
        <v>1297</v>
      </c>
      <c r="F583" s="9" t="s">
        <v>1297</v>
      </c>
      <c r="G583" s="9" t="s">
        <v>888</v>
      </c>
      <c r="H583" s="9" t="s">
        <v>500</v>
      </c>
      <c r="I583" s="9" t="s">
        <v>889</v>
      </c>
      <c r="J583" s="15">
        <v>353100</v>
      </c>
      <c r="K583" s="15">
        <v>58850</v>
      </c>
    </row>
    <row r="584" spans="1:11">
      <c r="A584" s="9">
        <f t="shared" si="9"/>
        <v>579</v>
      </c>
      <c r="B584" s="9" t="s">
        <v>1287</v>
      </c>
      <c r="C584" s="9" t="s">
        <v>53</v>
      </c>
      <c r="D584" s="9" t="s">
        <v>1298</v>
      </c>
      <c r="E584" s="9" t="s">
        <v>1299</v>
      </c>
      <c r="F584" s="9" t="s">
        <v>1299</v>
      </c>
      <c r="G584" s="9" t="s">
        <v>983</v>
      </c>
      <c r="H584" s="9" t="s">
        <v>103</v>
      </c>
      <c r="I584" s="9" t="s">
        <v>984</v>
      </c>
      <c r="J584" s="15">
        <v>4216</v>
      </c>
      <c r="K584" s="15">
        <v>702.67</v>
      </c>
    </row>
    <row r="585" spans="1:11" ht="30">
      <c r="A585" s="9">
        <f t="shared" si="9"/>
        <v>580</v>
      </c>
      <c r="B585" s="9" t="s">
        <v>1287</v>
      </c>
      <c r="C585" s="9" t="s">
        <v>53</v>
      </c>
      <c r="D585" s="9" t="s">
        <v>1300</v>
      </c>
      <c r="E585" s="9" t="s">
        <v>1299</v>
      </c>
      <c r="F585" s="9" t="s">
        <v>1299</v>
      </c>
      <c r="G585" s="9" t="s">
        <v>983</v>
      </c>
      <c r="H585" s="9" t="s">
        <v>103</v>
      </c>
      <c r="I585" s="9" t="s">
        <v>984</v>
      </c>
      <c r="J585" s="15">
        <v>2952</v>
      </c>
      <c r="K585" s="15">
        <v>190.83</v>
      </c>
    </row>
    <row r="586" spans="1:11">
      <c r="A586" s="9">
        <f t="shared" si="9"/>
        <v>581</v>
      </c>
      <c r="B586" s="9" t="s">
        <v>1287</v>
      </c>
      <c r="C586" s="9" t="s">
        <v>53</v>
      </c>
      <c r="D586" s="9" t="s">
        <v>1301</v>
      </c>
      <c r="E586" s="9" t="s">
        <v>1302</v>
      </c>
      <c r="F586" s="9" t="s">
        <v>1302</v>
      </c>
      <c r="G586" s="9" t="s">
        <v>1185</v>
      </c>
      <c r="H586" s="9" t="s">
        <v>75</v>
      </c>
      <c r="I586" s="9" t="s">
        <v>1186</v>
      </c>
      <c r="J586" s="15">
        <v>33040.639999999999</v>
      </c>
      <c r="K586" s="15">
        <v>5506.77</v>
      </c>
    </row>
    <row r="587" spans="1:11">
      <c r="A587" s="9">
        <f t="shared" si="9"/>
        <v>582</v>
      </c>
      <c r="B587" s="9" t="s">
        <v>1287</v>
      </c>
      <c r="C587" s="9" t="s">
        <v>53</v>
      </c>
      <c r="D587" s="9" t="s">
        <v>1303</v>
      </c>
      <c r="E587" s="9" t="s">
        <v>1304</v>
      </c>
      <c r="F587" s="9" t="s">
        <v>1304</v>
      </c>
      <c r="G587" s="9" t="s">
        <v>158</v>
      </c>
      <c r="H587" s="9" t="s">
        <v>159</v>
      </c>
      <c r="I587" s="9" t="s">
        <v>160</v>
      </c>
      <c r="J587" s="15">
        <v>26000</v>
      </c>
      <c r="K587" s="15">
        <v>4333.33</v>
      </c>
    </row>
    <row r="588" spans="1:11">
      <c r="A588" s="9">
        <f t="shared" si="9"/>
        <v>583</v>
      </c>
      <c r="B588" s="9" t="s">
        <v>1287</v>
      </c>
      <c r="C588" s="9" t="s">
        <v>71</v>
      </c>
      <c r="D588" s="9" t="s">
        <v>72</v>
      </c>
      <c r="E588" s="9" t="s">
        <v>1297</v>
      </c>
      <c r="F588" s="9" t="s">
        <v>36</v>
      </c>
      <c r="G588" s="9" t="s">
        <v>74</v>
      </c>
      <c r="H588" s="9" t="s">
        <v>75</v>
      </c>
      <c r="I588" s="9" t="s">
        <v>38</v>
      </c>
      <c r="J588" s="15">
        <v>89344</v>
      </c>
      <c r="K588" s="15">
        <v>14890.67</v>
      </c>
    </row>
    <row r="589" spans="1:11">
      <c r="A589" s="9">
        <f t="shared" si="9"/>
        <v>584</v>
      </c>
      <c r="B589" s="9" t="s">
        <v>1287</v>
      </c>
      <c r="C589" s="9" t="s">
        <v>71</v>
      </c>
      <c r="D589" s="9" t="s">
        <v>116</v>
      </c>
      <c r="E589" s="9" t="s">
        <v>1297</v>
      </c>
      <c r="F589" s="9" t="s">
        <v>36</v>
      </c>
      <c r="G589" s="9" t="s">
        <v>74</v>
      </c>
      <c r="H589" s="9" t="s">
        <v>75</v>
      </c>
      <c r="I589" s="9" t="s">
        <v>38</v>
      </c>
      <c r="J589" s="15">
        <v>320000</v>
      </c>
      <c r="K589" s="15">
        <v>53333.33</v>
      </c>
    </row>
    <row r="590" spans="1:11">
      <c r="A590" s="9">
        <f t="shared" si="9"/>
        <v>585</v>
      </c>
      <c r="B590" s="9" t="s">
        <v>1287</v>
      </c>
      <c r="C590" s="9" t="s">
        <v>53</v>
      </c>
      <c r="D590" s="9" t="s">
        <v>1305</v>
      </c>
      <c r="E590" s="9" t="s">
        <v>1306</v>
      </c>
      <c r="F590" s="9" t="s">
        <v>1306</v>
      </c>
      <c r="G590" s="9" t="s">
        <v>1087</v>
      </c>
      <c r="H590" s="9" t="s">
        <v>75</v>
      </c>
      <c r="I590" s="9" t="s">
        <v>1088</v>
      </c>
      <c r="J590" s="15">
        <v>1750</v>
      </c>
      <c r="K590" s="15">
        <v>291.67</v>
      </c>
    </row>
    <row r="591" spans="1:11">
      <c r="A591" s="9">
        <f t="shared" si="9"/>
        <v>586</v>
      </c>
      <c r="B591" s="9" t="s">
        <v>1287</v>
      </c>
      <c r="C591" s="9" t="s">
        <v>53</v>
      </c>
      <c r="D591" s="9" t="s">
        <v>1307</v>
      </c>
      <c r="E591" s="9" t="s">
        <v>1306</v>
      </c>
      <c r="F591" s="9" t="s">
        <v>1306</v>
      </c>
      <c r="G591" s="9" t="s">
        <v>313</v>
      </c>
      <c r="H591" s="9" t="s">
        <v>314</v>
      </c>
      <c r="I591" s="9" t="s">
        <v>315</v>
      </c>
      <c r="J591" s="15">
        <v>72000</v>
      </c>
      <c r="K591" s="15">
        <v>12000</v>
      </c>
    </row>
    <row r="592" spans="1:11">
      <c r="A592" s="9">
        <f t="shared" si="9"/>
        <v>587</v>
      </c>
      <c r="B592" s="9" t="s">
        <v>1287</v>
      </c>
      <c r="C592" s="9" t="s">
        <v>53</v>
      </c>
      <c r="D592" s="9" t="s">
        <v>109</v>
      </c>
      <c r="E592" s="9" t="s">
        <v>1308</v>
      </c>
      <c r="F592" s="9" t="s">
        <v>1308</v>
      </c>
      <c r="G592" s="9" t="s">
        <v>795</v>
      </c>
      <c r="H592" s="9" t="s">
        <v>163</v>
      </c>
      <c r="I592" s="9" t="s">
        <v>796</v>
      </c>
      <c r="J592" s="15">
        <v>699600</v>
      </c>
      <c r="K592" s="15">
        <v>116600</v>
      </c>
    </row>
    <row r="593" spans="1:11">
      <c r="A593" s="9">
        <f t="shared" si="9"/>
        <v>588</v>
      </c>
      <c r="B593" s="9" t="s">
        <v>1287</v>
      </c>
      <c r="C593" s="9" t="s">
        <v>53</v>
      </c>
      <c r="D593" s="9" t="s">
        <v>1309</v>
      </c>
      <c r="E593" s="9" t="s">
        <v>1308</v>
      </c>
      <c r="F593" s="9" t="s">
        <v>1308</v>
      </c>
      <c r="G593" s="9" t="s">
        <v>1310</v>
      </c>
      <c r="H593" s="9" t="s">
        <v>1311</v>
      </c>
      <c r="I593" s="9" t="s">
        <v>1312</v>
      </c>
      <c r="J593" s="15">
        <v>907500</v>
      </c>
      <c r="K593" s="15">
        <v>151250</v>
      </c>
    </row>
    <row r="594" spans="1:11">
      <c r="A594" s="9">
        <f t="shared" si="9"/>
        <v>589</v>
      </c>
      <c r="B594" s="9" t="s">
        <v>1287</v>
      </c>
      <c r="C594" s="9" t="s">
        <v>53</v>
      </c>
      <c r="D594" s="9" t="s">
        <v>1313</v>
      </c>
      <c r="E594" s="9" t="s">
        <v>1314</v>
      </c>
      <c r="F594" s="9" t="s">
        <v>1314</v>
      </c>
      <c r="G594" s="9" t="s">
        <v>1315</v>
      </c>
      <c r="H594" s="9" t="s">
        <v>75</v>
      </c>
      <c r="I594" s="9" t="s">
        <v>1316</v>
      </c>
      <c r="J594" s="15">
        <v>18350</v>
      </c>
      <c r="K594" s="15">
        <v>3058.33</v>
      </c>
    </row>
    <row r="595" spans="1:11">
      <c r="A595" s="9">
        <f t="shared" si="9"/>
        <v>590</v>
      </c>
      <c r="B595" s="9" t="s">
        <v>1287</v>
      </c>
      <c r="C595" s="9" t="s">
        <v>53</v>
      </c>
      <c r="D595" s="9" t="s">
        <v>1317</v>
      </c>
      <c r="E595" s="9" t="s">
        <v>1314</v>
      </c>
      <c r="F595" s="9" t="s">
        <v>1314</v>
      </c>
      <c r="G595" s="9" t="s">
        <v>318</v>
      </c>
      <c r="H595" s="9" t="s">
        <v>864</v>
      </c>
      <c r="I595" s="9" t="s">
        <v>320</v>
      </c>
      <c r="J595" s="15">
        <v>796</v>
      </c>
      <c r="K595" s="15">
        <v>120.84</v>
      </c>
    </row>
    <row r="596" spans="1:11">
      <c r="A596" s="9">
        <f t="shared" si="9"/>
        <v>591</v>
      </c>
      <c r="B596" s="9" t="s">
        <v>1287</v>
      </c>
      <c r="C596" s="9" t="s">
        <v>53</v>
      </c>
      <c r="D596" s="9" t="s">
        <v>1258</v>
      </c>
      <c r="E596" s="9" t="s">
        <v>1318</v>
      </c>
      <c r="F596" s="9" t="s">
        <v>1318</v>
      </c>
      <c r="G596" s="9" t="s">
        <v>795</v>
      </c>
      <c r="H596" s="9" t="s">
        <v>163</v>
      </c>
      <c r="I596" s="9" t="s">
        <v>796</v>
      </c>
      <c r="J596" s="15">
        <v>759000</v>
      </c>
      <c r="K596" s="15">
        <v>126500</v>
      </c>
    </row>
    <row r="597" spans="1:11">
      <c r="A597" s="9">
        <f t="shared" si="9"/>
        <v>592</v>
      </c>
      <c r="B597" s="9" t="s">
        <v>1287</v>
      </c>
      <c r="C597" s="9" t="s">
        <v>53</v>
      </c>
      <c r="D597" s="9" t="s">
        <v>1319</v>
      </c>
      <c r="E597" s="9" t="s">
        <v>1320</v>
      </c>
      <c r="F597" s="9" t="s">
        <v>1320</v>
      </c>
      <c r="G597" s="9" t="s">
        <v>158</v>
      </c>
      <c r="H597" s="9" t="s">
        <v>159</v>
      </c>
      <c r="I597" s="9" t="s">
        <v>160</v>
      </c>
      <c r="J597" s="15">
        <v>42000</v>
      </c>
      <c r="K597" s="15">
        <v>7000</v>
      </c>
    </row>
    <row r="598" spans="1:11">
      <c r="A598" s="9">
        <f t="shared" si="9"/>
        <v>593</v>
      </c>
      <c r="B598" s="9" t="s">
        <v>1287</v>
      </c>
      <c r="C598" s="9" t="s">
        <v>53</v>
      </c>
      <c r="D598" s="9" t="s">
        <v>1321</v>
      </c>
      <c r="E598" s="9" t="s">
        <v>1320</v>
      </c>
      <c r="F598" s="9" t="s">
        <v>1320</v>
      </c>
      <c r="G598" s="9" t="s">
        <v>956</v>
      </c>
      <c r="H598" s="9" t="s">
        <v>103</v>
      </c>
      <c r="I598" s="9" t="s">
        <v>957</v>
      </c>
      <c r="J598" s="15">
        <v>2419</v>
      </c>
      <c r="K598" s="15">
        <v>403.17</v>
      </c>
    </row>
    <row r="599" spans="1:11">
      <c r="A599" s="9">
        <f t="shared" si="9"/>
        <v>594</v>
      </c>
      <c r="B599" s="9" t="s">
        <v>1287</v>
      </c>
      <c r="C599" s="9" t="s">
        <v>53</v>
      </c>
      <c r="D599" s="9" t="s">
        <v>1322</v>
      </c>
      <c r="E599" s="9" t="s">
        <v>1320</v>
      </c>
      <c r="F599" s="9" t="s">
        <v>1320</v>
      </c>
      <c r="G599" s="9" t="s">
        <v>348</v>
      </c>
      <c r="H599" s="9" t="s">
        <v>349</v>
      </c>
      <c r="I599" s="9" t="s">
        <v>350</v>
      </c>
      <c r="J599" s="15">
        <v>90612</v>
      </c>
      <c r="K599" s="15">
        <v>15102</v>
      </c>
    </row>
    <row r="600" spans="1:11" ht="30">
      <c r="A600" s="9">
        <f t="shared" si="9"/>
        <v>595</v>
      </c>
      <c r="B600" s="9" t="s">
        <v>1287</v>
      </c>
      <c r="C600" s="9" t="s">
        <v>53</v>
      </c>
      <c r="D600" s="9" t="s">
        <v>1323</v>
      </c>
      <c r="E600" s="9" t="s">
        <v>1324</v>
      </c>
      <c r="F600" s="9" t="s">
        <v>1324</v>
      </c>
      <c r="G600" s="9" t="s">
        <v>983</v>
      </c>
      <c r="H600" s="9" t="s">
        <v>103</v>
      </c>
      <c r="I600" s="9" t="s">
        <v>984</v>
      </c>
      <c r="J600" s="15">
        <v>5208</v>
      </c>
      <c r="K600" s="15">
        <v>0</v>
      </c>
    </row>
    <row r="601" spans="1:11">
      <c r="A601" s="9">
        <f t="shared" si="9"/>
        <v>596</v>
      </c>
      <c r="B601" s="9" t="s">
        <v>1287</v>
      </c>
      <c r="C601" s="9" t="s">
        <v>53</v>
      </c>
      <c r="D601" s="9" t="s">
        <v>1325</v>
      </c>
      <c r="E601" s="9" t="s">
        <v>1324</v>
      </c>
      <c r="F601" s="9" t="s">
        <v>1324</v>
      </c>
      <c r="G601" s="9" t="s">
        <v>795</v>
      </c>
      <c r="H601" s="9" t="s">
        <v>163</v>
      </c>
      <c r="I601" s="9" t="s">
        <v>796</v>
      </c>
      <c r="J601" s="15">
        <v>740300</v>
      </c>
      <c r="K601" s="15">
        <v>123383.33</v>
      </c>
    </row>
    <row r="602" spans="1:11">
      <c r="A602" s="9">
        <f t="shared" si="9"/>
        <v>597</v>
      </c>
      <c r="B602" s="9" t="s">
        <v>1287</v>
      </c>
      <c r="C602" s="9" t="s">
        <v>53</v>
      </c>
      <c r="D602" s="9" t="s">
        <v>1326</v>
      </c>
      <c r="E602" s="9" t="s">
        <v>1327</v>
      </c>
      <c r="F602" s="9" t="s">
        <v>1327</v>
      </c>
      <c r="G602" s="9" t="s">
        <v>1328</v>
      </c>
      <c r="H602" s="9" t="s">
        <v>1329</v>
      </c>
      <c r="I602" s="9" t="s">
        <v>1330</v>
      </c>
      <c r="J602" s="15">
        <v>410465</v>
      </c>
      <c r="K602" s="15">
        <v>68410.83</v>
      </c>
    </row>
    <row r="603" spans="1:11">
      <c r="A603" s="9">
        <f t="shared" si="9"/>
        <v>598</v>
      </c>
      <c r="B603" s="9" t="s">
        <v>1287</v>
      </c>
      <c r="C603" s="9" t="s">
        <v>53</v>
      </c>
      <c r="D603" s="9" t="s">
        <v>1331</v>
      </c>
      <c r="E603" s="9" t="s">
        <v>1327</v>
      </c>
      <c r="F603" s="9" t="s">
        <v>1327</v>
      </c>
      <c r="G603" s="9" t="s">
        <v>795</v>
      </c>
      <c r="H603" s="9" t="s">
        <v>163</v>
      </c>
      <c r="I603" s="9" t="s">
        <v>796</v>
      </c>
      <c r="J603" s="15">
        <v>694100</v>
      </c>
      <c r="K603" s="15">
        <v>115683.33</v>
      </c>
    </row>
    <row r="604" spans="1:11">
      <c r="A604" s="9">
        <f t="shared" si="9"/>
        <v>599</v>
      </c>
      <c r="B604" s="9" t="s">
        <v>1287</v>
      </c>
      <c r="C604" s="9" t="s">
        <v>53</v>
      </c>
      <c r="D604" s="9" t="s">
        <v>1332</v>
      </c>
      <c r="E604" s="9" t="s">
        <v>1333</v>
      </c>
      <c r="F604" s="9" t="s">
        <v>1333</v>
      </c>
      <c r="G604" s="9" t="s">
        <v>1185</v>
      </c>
      <c r="H604" s="9" t="s">
        <v>75</v>
      </c>
      <c r="I604" s="9" t="s">
        <v>1186</v>
      </c>
      <c r="J604" s="15">
        <v>3000</v>
      </c>
      <c r="K604" s="15">
        <v>500</v>
      </c>
    </row>
    <row r="605" spans="1:11">
      <c r="A605" s="9">
        <f t="shared" si="9"/>
        <v>600</v>
      </c>
      <c r="B605" s="9" t="s">
        <v>1287</v>
      </c>
      <c r="C605" s="9" t="s">
        <v>53</v>
      </c>
      <c r="D605" s="9" t="s">
        <v>1334</v>
      </c>
      <c r="E605" s="9" t="s">
        <v>1333</v>
      </c>
      <c r="F605" s="9" t="s">
        <v>1333</v>
      </c>
      <c r="G605" s="9" t="s">
        <v>1185</v>
      </c>
      <c r="H605" s="9" t="s">
        <v>75</v>
      </c>
      <c r="I605" s="9" t="s">
        <v>1186</v>
      </c>
      <c r="J605" s="15">
        <v>160878.57999999999</v>
      </c>
      <c r="K605" s="15">
        <v>26813.09</v>
      </c>
    </row>
    <row r="606" spans="1:11">
      <c r="A606" s="9">
        <f t="shared" si="9"/>
        <v>601</v>
      </c>
      <c r="B606" s="9" t="s">
        <v>1287</v>
      </c>
      <c r="C606" s="9" t="s">
        <v>53</v>
      </c>
      <c r="D606" s="9" t="s">
        <v>1335</v>
      </c>
      <c r="E606" s="9" t="s">
        <v>1336</v>
      </c>
      <c r="F606" s="9" t="s">
        <v>1336</v>
      </c>
      <c r="G606" s="9" t="s">
        <v>102</v>
      </c>
      <c r="H606" s="9" t="s">
        <v>103</v>
      </c>
      <c r="I606" s="9" t="s">
        <v>104</v>
      </c>
      <c r="J606" s="15">
        <v>4020</v>
      </c>
      <c r="K606" s="15">
        <v>670</v>
      </c>
    </row>
    <row r="607" spans="1:11">
      <c r="A607" s="9">
        <f t="shared" si="9"/>
        <v>602</v>
      </c>
      <c r="B607" s="9" t="s">
        <v>1287</v>
      </c>
      <c r="C607" s="9" t="s">
        <v>71</v>
      </c>
      <c r="D607" s="9" t="s">
        <v>210</v>
      </c>
      <c r="E607" s="9" t="s">
        <v>1337</v>
      </c>
      <c r="F607" s="9" t="s">
        <v>36</v>
      </c>
      <c r="G607" s="9" t="s">
        <v>74</v>
      </c>
      <c r="H607" s="9" t="s">
        <v>75</v>
      </c>
      <c r="I607" s="9" t="s">
        <v>38</v>
      </c>
      <c r="J607" s="15">
        <v>1139190</v>
      </c>
      <c r="K607" s="15">
        <v>189865</v>
      </c>
    </row>
    <row r="608" spans="1:11" ht="30">
      <c r="A608" s="9">
        <f t="shared" si="9"/>
        <v>603</v>
      </c>
      <c r="B608" s="9" t="s">
        <v>1287</v>
      </c>
      <c r="C608" s="9" t="s">
        <v>53</v>
      </c>
      <c r="D608" s="9" t="s">
        <v>1338</v>
      </c>
      <c r="E608" s="9" t="s">
        <v>1339</v>
      </c>
      <c r="F608" s="9" t="s">
        <v>1339</v>
      </c>
      <c r="G608" s="9" t="s">
        <v>1340</v>
      </c>
      <c r="H608" s="9" t="s">
        <v>103</v>
      </c>
      <c r="I608" s="9" t="s">
        <v>1341</v>
      </c>
      <c r="J608" s="15">
        <v>4485</v>
      </c>
      <c r="K608" s="15">
        <v>747.5</v>
      </c>
    </row>
    <row r="609" spans="1:11">
      <c r="A609" s="9">
        <f t="shared" si="9"/>
        <v>604</v>
      </c>
      <c r="B609" s="9" t="s">
        <v>1287</v>
      </c>
      <c r="C609" s="9" t="s">
        <v>71</v>
      </c>
      <c r="D609" s="9" t="s">
        <v>212</v>
      </c>
      <c r="E609" s="9" t="s">
        <v>1327</v>
      </c>
      <c r="F609" s="9" t="s">
        <v>36</v>
      </c>
      <c r="G609" s="9" t="s">
        <v>74</v>
      </c>
      <c r="H609" s="9" t="s">
        <v>75</v>
      </c>
      <c r="I609" s="9" t="s">
        <v>38</v>
      </c>
      <c r="J609" s="15">
        <v>4000</v>
      </c>
      <c r="K609" s="15">
        <v>666.67</v>
      </c>
    </row>
    <row r="610" spans="1:11">
      <c r="A610" s="9">
        <f t="shared" si="9"/>
        <v>605</v>
      </c>
      <c r="B610" s="9" t="s">
        <v>1287</v>
      </c>
      <c r="C610" s="9" t="s">
        <v>53</v>
      </c>
      <c r="D610" s="9" t="s">
        <v>1342</v>
      </c>
      <c r="E610" s="9" t="s">
        <v>1343</v>
      </c>
      <c r="F610" s="9" t="s">
        <v>1343</v>
      </c>
      <c r="G610" s="9" t="s">
        <v>1233</v>
      </c>
      <c r="H610" s="9" t="s">
        <v>300</v>
      </c>
      <c r="I610" s="9" t="s">
        <v>1234</v>
      </c>
      <c r="J610" s="15">
        <v>8400</v>
      </c>
      <c r="K610" s="15">
        <v>1400</v>
      </c>
    </row>
    <row r="611" spans="1:11">
      <c r="A611" s="9">
        <f t="shared" si="9"/>
        <v>606</v>
      </c>
      <c r="B611" s="9" t="s">
        <v>1287</v>
      </c>
      <c r="C611" s="9" t="s">
        <v>53</v>
      </c>
      <c r="D611" s="9" t="s">
        <v>1344</v>
      </c>
      <c r="E611" s="9" t="s">
        <v>1343</v>
      </c>
      <c r="F611" s="9" t="s">
        <v>1343</v>
      </c>
      <c r="G611" s="9" t="s">
        <v>102</v>
      </c>
      <c r="H611" s="9" t="s">
        <v>103</v>
      </c>
      <c r="I611" s="9" t="s">
        <v>104</v>
      </c>
      <c r="J611" s="15">
        <v>7929</v>
      </c>
      <c r="K611" s="15">
        <v>1321.5</v>
      </c>
    </row>
    <row r="612" spans="1:11">
      <c r="A612" s="9">
        <f t="shared" si="9"/>
        <v>607</v>
      </c>
      <c r="B612" s="9" t="s">
        <v>1287</v>
      </c>
      <c r="C612" s="9" t="s">
        <v>71</v>
      </c>
      <c r="D612" s="9" t="s">
        <v>107</v>
      </c>
      <c r="E612" s="9" t="s">
        <v>1289</v>
      </c>
      <c r="F612" s="9" t="s">
        <v>36</v>
      </c>
      <c r="G612" s="9" t="s">
        <v>74</v>
      </c>
      <c r="H612" s="9" t="s">
        <v>75</v>
      </c>
      <c r="I612" s="9" t="s">
        <v>38</v>
      </c>
      <c r="J612" s="15">
        <v>780000</v>
      </c>
      <c r="K612" s="15">
        <v>130000</v>
      </c>
    </row>
    <row r="613" spans="1:11">
      <c r="A613" s="9">
        <f t="shared" si="9"/>
        <v>608</v>
      </c>
      <c r="B613" s="9" t="s">
        <v>1287</v>
      </c>
      <c r="C613" s="9" t="s">
        <v>71</v>
      </c>
      <c r="D613" s="9" t="s">
        <v>341</v>
      </c>
      <c r="E613" s="9" t="s">
        <v>1336</v>
      </c>
      <c r="F613" s="9" t="s">
        <v>36</v>
      </c>
      <c r="G613" s="9" t="s">
        <v>74</v>
      </c>
      <c r="H613" s="9" t="s">
        <v>75</v>
      </c>
      <c r="I613" s="9" t="s">
        <v>38</v>
      </c>
      <c r="J613" s="15">
        <v>383907</v>
      </c>
      <c r="K613" s="15">
        <v>63984.5</v>
      </c>
    </row>
    <row r="614" spans="1:11">
      <c r="A614" s="9">
        <f t="shared" si="9"/>
        <v>609</v>
      </c>
      <c r="B614" s="9" t="s">
        <v>1287</v>
      </c>
      <c r="C614" s="9" t="s">
        <v>53</v>
      </c>
      <c r="D614" s="9" t="s">
        <v>1345</v>
      </c>
      <c r="E614" s="9" t="s">
        <v>1346</v>
      </c>
      <c r="F614" s="9" t="s">
        <v>1346</v>
      </c>
      <c r="G614" s="9" t="s">
        <v>313</v>
      </c>
      <c r="H614" s="9" t="s">
        <v>314</v>
      </c>
      <c r="I614" s="9" t="s">
        <v>315</v>
      </c>
      <c r="J614" s="15">
        <v>36000</v>
      </c>
      <c r="K614" s="15">
        <v>6000</v>
      </c>
    </row>
    <row r="615" spans="1:11">
      <c r="A615" s="9">
        <f t="shared" si="9"/>
        <v>610</v>
      </c>
      <c r="B615" s="9" t="s">
        <v>1287</v>
      </c>
      <c r="C615" s="9" t="s">
        <v>53</v>
      </c>
      <c r="D615" s="9" t="s">
        <v>434</v>
      </c>
      <c r="E615" s="9" t="s">
        <v>1346</v>
      </c>
      <c r="F615" s="9" t="s">
        <v>1346</v>
      </c>
      <c r="G615" s="9" t="s">
        <v>1347</v>
      </c>
      <c r="H615" s="9" t="s">
        <v>904</v>
      </c>
      <c r="I615" s="9" t="s">
        <v>1348</v>
      </c>
      <c r="J615" s="15">
        <v>44000</v>
      </c>
      <c r="K615" s="15">
        <v>7333.33</v>
      </c>
    </row>
    <row r="616" spans="1:11">
      <c r="A616" s="9">
        <f t="shared" si="9"/>
        <v>611</v>
      </c>
      <c r="B616" s="9" t="s">
        <v>1287</v>
      </c>
      <c r="C616" s="9" t="s">
        <v>53</v>
      </c>
      <c r="D616" s="9" t="s">
        <v>1349</v>
      </c>
      <c r="E616" s="9" t="s">
        <v>1346</v>
      </c>
      <c r="F616" s="9" t="s">
        <v>1346</v>
      </c>
      <c r="G616" s="9" t="s">
        <v>1310</v>
      </c>
      <c r="H616" s="9" t="s">
        <v>1311</v>
      </c>
      <c r="I616" s="9" t="s">
        <v>1312</v>
      </c>
      <c r="J616" s="15">
        <v>767250</v>
      </c>
      <c r="K616" s="15">
        <v>127875</v>
      </c>
    </row>
    <row r="617" spans="1:11">
      <c r="A617" s="9">
        <f t="shared" si="9"/>
        <v>612</v>
      </c>
      <c r="B617" s="9" t="s">
        <v>1287</v>
      </c>
      <c r="C617" s="9" t="s">
        <v>53</v>
      </c>
      <c r="D617" s="9" t="s">
        <v>1350</v>
      </c>
      <c r="E617" s="9" t="s">
        <v>1351</v>
      </c>
      <c r="F617" s="9" t="s">
        <v>1351</v>
      </c>
      <c r="G617" s="9" t="s">
        <v>1185</v>
      </c>
      <c r="H617" s="9" t="s">
        <v>75</v>
      </c>
      <c r="I617" s="9" t="s">
        <v>1186</v>
      </c>
      <c r="J617" s="15">
        <v>2400</v>
      </c>
      <c r="K617" s="15">
        <v>400</v>
      </c>
    </row>
    <row r="618" spans="1:11" ht="30">
      <c r="A618" s="9">
        <f t="shared" si="9"/>
        <v>613</v>
      </c>
      <c r="B618" s="9" t="s">
        <v>1287</v>
      </c>
      <c r="C618" s="9" t="s">
        <v>53</v>
      </c>
      <c r="D618" s="9" t="s">
        <v>1352</v>
      </c>
      <c r="E618" s="9" t="s">
        <v>1351</v>
      </c>
      <c r="F618" s="9" t="s">
        <v>1351</v>
      </c>
      <c r="G618" s="9" t="s">
        <v>1353</v>
      </c>
      <c r="H618" s="9" t="s">
        <v>1354</v>
      </c>
      <c r="I618" s="9" t="s">
        <v>1355</v>
      </c>
      <c r="J618" s="15">
        <v>1780</v>
      </c>
      <c r="K618" s="15">
        <v>296.67</v>
      </c>
    </row>
    <row r="619" spans="1:11">
      <c r="A619" s="9">
        <f t="shared" si="9"/>
        <v>614</v>
      </c>
      <c r="B619" s="9" t="s">
        <v>1287</v>
      </c>
      <c r="C619" s="9" t="s">
        <v>53</v>
      </c>
      <c r="D619" s="9" t="s">
        <v>1356</v>
      </c>
      <c r="E619" s="9" t="s">
        <v>1357</v>
      </c>
      <c r="F619" s="9" t="s">
        <v>1357</v>
      </c>
      <c r="G619" s="9" t="s">
        <v>102</v>
      </c>
      <c r="H619" s="9" t="s">
        <v>103</v>
      </c>
      <c r="I619" s="9" t="s">
        <v>104</v>
      </c>
      <c r="J619" s="15">
        <v>4787</v>
      </c>
      <c r="K619" s="15">
        <v>797.83</v>
      </c>
    </row>
    <row r="620" spans="1:11">
      <c r="A620" s="9">
        <f t="shared" si="9"/>
        <v>615</v>
      </c>
      <c r="B620" s="9" t="s">
        <v>1287</v>
      </c>
      <c r="C620" s="9" t="s">
        <v>53</v>
      </c>
      <c r="D620" s="9" t="s">
        <v>1358</v>
      </c>
      <c r="E620" s="9" t="s">
        <v>1359</v>
      </c>
      <c r="F620" s="9" t="s">
        <v>1359</v>
      </c>
      <c r="G620" s="9" t="s">
        <v>318</v>
      </c>
      <c r="H620" s="9" t="s">
        <v>864</v>
      </c>
      <c r="I620" s="9" t="s">
        <v>320</v>
      </c>
      <c r="J620" s="15">
        <v>929</v>
      </c>
      <c r="K620" s="15">
        <v>139.83000000000001</v>
      </c>
    </row>
    <row r="621" spans="1:11">
      <c r="A621" s="9">
        <f t="shared" si="9"/>
        <v>616</v>
      </c>
      <c r="B621" s="9" t="s">
        <v>1287</v>
      </c>
      <c r="C621" s="9" t="s">
        <v>53</v>
      </c>
      <c r="D621" s="9" t="s">
        <v>1360</v>
      </c>
      <c r="E621" s="9" t="s">
        <v>1361</v>
      </c>
      <c r="F621" s="9" t="s">
        <v>1361</v>
      </c>
      <c r="G621" s="9" t="s">
        <v>158</v>
      </c>
      <c r="H621" s="9" t="s">
        <v>159</v>
      </c>
      <c r="I621" s="9" t="s">
        <v>160</v>
      </c>
      <c r="J621" s="15">
        <v>42000</v>
      </c>
      <c r="K621" s="15">
        <v>7000</v>
      </c>
    </row>
    <row r="622" spans="1:11">
      <c r="A622" s="9">
        <f t="shared" si="9"/>
        <v>617</v>
      </c>
      <c r="B622" s="9" t="s">
        <v>1287</v>
      </c>
      <c r="C622" s="9" t="s">
        <v>71</v>
      </c>
      <c r="D622" s="9" t="s">
        <v>224</v>
      </c>
      <c r="E622" s="9" t="s">
        <v>1362</v>
      </c>
      <c r="F622" s="9" t="s">
        <v>36</v>
      </c>
      <c r="G622" s="9" t="s">
        <v>74</v>
      </c>
      <c r="H622" s="9" t="s">
        <v>75</v>
      </c>
      <c r="I622" s="9" t="s">
        <v>38</v>
      </c>
      <c r="J622" s="15">
        <v>1170000</v>
      </c>
      <c r="K622" s="15">
        <v>195000</v>
      </c>
    </row>
    <row r="623" spans="1:11">
      <c r="A623" s="9">
        <f t="shared" si="9"/>
        <v>618</v>
      </c>
      <c r="B623" s="9" t="s">
        <v>1287</v>
      </c>
      <c r="C623" s="9" t="s">
        <v>53</v>
      </c>
      <c r="D623" s="9" t="s">
        <v>1363</v>
      </c>
      <c r="E623" s="9" t="s">
        <v>1364</v>
      </c>
      <c r="F623" s="9" t="s">
        <v>1364</v>
      </c>
      <c r="G623" s="9" t="s">
        <v>1185</v>
      </c>
      <c r="H623" s="9" t="s">
        <v>75</v>
      </c>
      <c r="I623" s="9" t="s">
        <v>1186</v>
      </c>
      <c r="J623" s="15">
        <v>28800.639999999999</v>
      </c>
      <c r="K623" s="15">
        <v>4800.1099999999997</v>
      </c>
    </row>
    <row r="624" spans="1:11">
      <c r="A624" s="9">
        <f t="shared" si="9"/>
        <v>619</v>
      </c>
      <c r="B624" s="9" t="s">
        <v>1287</v>
      </c>
      <c r="C624" s="9" t="s">
        <v>53</v>
      </c>
      <c r="D624" s="9" t="s">
        <v>1365</v>
      </c>
      <c r="E624" s="9" t="s">
        <v>1364</v>
      </c>
      <c r="F624" s="9" t="s">
        <v>1364</v>
      </c>
      <c r="G624" s="9" t="s">
        <v>313</v>
      </c>
      <c r="H624" s="9" t="s">
        <v>314</v>
      </c>
      <c r="I624" s="9" t="s">
        <v>315</v>
      </c>
      <c r="J624" s="15">
        <v>36000</v>
      </c>
      <c r="K624" s="15">
        <v>6000</v>
      </c>
    </row>
    <row r="625" spans="1:11">
      <c r="A625" s="9">
        <f t="shared" si="9"/>
        <v>620</v>
      </c>
      <c r="B625" s="9" t="s">
        <v>1287</v>
      </c>
      <c r="C625" s="9" t="s">
        <v>53</v>
      </c>
      <c r="D625" s="9" t="s">
        <v>1366</v>
      </c>
      <c r="E625" s="9" t="s">
        <v>1367</v>
      </c>
      <c r="F625" s="9" t="s">
        <v>1367</v>
      </c>
      <c r="G625" s="9" t="s">
        <v>1368</v>
      </c>
      <c r="H625" s="9" t="s">
        <v>327</v>
      </c>
      <c r="I625" s="9" t="s">
        <v>1369</v>
      </c>
      <c r="J625" s="15">
        <v>585684</v>
      </c>
      <c r="K625" s="15">
        <v>97614</v>
      </c>
    </row>
    <row r="626" spans="1:11">
      <c r="A626" s="9">
        <f t="shared" si="9"/>
        <v>621</v>
      </c>
      <c r="B626" s="9" t="s">
        <v>1287</v>
      </c>
      <c r="C626" s="9" t="s">
        <v>71</v>
      </c>
      <c r="D626" s="9" t="s">
        <v>1370</v>
      </c>
      <c r="E626" s="9" t="s">
        <v>1367</v>
      </c>
      <c r="F626" s="9" t="s">
        <v>36</v>
      </c>
      <c r="G626" s="9" t="s">
        <v>74</v>
      </c>
      <c r="H626" s="9" t="s">
        <v>75</v>
      </c>
      <c r="I626" s="9" t="s">
        <v>38</v>
      </c>
      <c r="J626" s="15">
        <v>300000</v>
      </c>
      <c r="K626" s="15">
        <v>50000</v>
      </c>
    </row>
    <row r="627" spans="1:11">
      <c r="A627" s="9">
        <f t="shared" si="9"/>
        <v>622</v>
      </c>
      <c r="B627" s="9" t="s">
        <v>1287</v>
      </c>
      <c r="C627" s="9" t="s">
        <v>53</v>
      </c>
      <c r="D627" s="9" t="s">
        <v>1371</v>
      </c>
      <c r="E627" s="9" t="s">
        <v>1372</v>
      </c>
      <c r="F627" s="9" t="s">
        <v>1372</v>
      </c>
      <c r="G627" s="9" t="s">
        <v>313</v>
      </c>
      <c r="H627" s="9" t="s">
        <v>314</v>
      </c>
      <c r="I627" s="9" t="s">
        <v>315</v>
      </c>
      <c r="J627" s="15">
        <v>36000</v>
      </c>
      <c r="K627" s="15">
        <v>6000</v>
      </c>
    </row>
    <row r="628" spans="1:11">
      <c r="A628" s="9">
        <f t="shared" si="9"/>
        <v>623</v>
      </c>
      <c r="B628" s="9" t="s">
        <v>1287</v>
      </c>
      <c r="C628" s="9" t="s">
        <v>53</v>
      </c>
      <c r="D628" s="9" t="s">
        <v>214</v>
      </c>
      <c r="E628" s="9" t="s">
        <v>1372</v>
      </c>
      <c r="F628" s="9" t="s">
        <v>1372</v>
      </c>
      <c r="G628" s="9" t="s">
        <v>899</v>
      </c>
      <c r="H628" s="9" t="s">
        <v>163</v>
      </c>
      <c r="I628" s="9" t="s">
        <v>900</v>
      </c>
      <c r="J628" s="15">
        <v>220000</v>
      </c>
      <c r="K628" s="15">
        <v>36666.67</v>
      </c>
    </row>
    <row r="629" spans="1:11">
      <c r="A629" s="9">
        <f t="shared" si="9"/>
        <v>624</v>
      </c>
      <c r="B629" s="9" t="s">
        <v>1287</v>
      </c>
      <c r="C629" s="9" t="s">
        <v>53</v>
      </c>
      <c r="D629" s="9" t="s">
        <v>1373</v>
      </c>
      <c r="E629" s="9" t="s">
        <v>1374</v>
      </c>
      <c r="F629" s="9" t="s">
        <v>1374</v>
      </c>
      <c r="G629" s="9" t="s">
        <v>1328</v>
      </c>
      <c r="H629" s="9" t="s">
        <v>1329</v>
      </c>
      <c r="I629" s="9" t="s">
        <v>1330</v>
      </c>
      <c r="J629" s="15">
        <v>48816</v>
      </c>
      <c r="K629" s="15">
        <v>8136</v>
      </c>
    </row>
    <row r="630" spans="1:11">
      <c r="A630" s="9">
        <f t="shared" si="9"/>
        <v>625</v>
      </c>
      <c r="B630" s="9" t="s">
        <v>1287</v>
      </c>
      <c r="C630" s="9" t="s">
        <v>53</v>
      </c>
      <c r="D630" s="9" t="s">
        <v>1375</v>
      </c>
      <c r="E630" s="9" t="s">
        <v>1374</v>
      </c>
      <c r="F630" s="9" t="s">
        <v>1374</v>
      </c>
      <c r="G630" s="9" t="s">
        <v>899</v>
      </c>
      <c r="H630" s="9" t="s">
        <v>163</v>
      </c>
      <c r="I630" s="9" t="s">
        <v>900</v>
      </c>
      <c r="J630" s="15">
        <v>440000</v>
      </c>
      <c r="K630" s="15">
        <v>73333.33</v>
      </c>
    </row>
    <row r="631" spans="1:11">
      <c r="A631" s="9">
        <f t="shared" si="9"/>
        <v>626</v>
      </c>
      <c r="B631" s="9" t="s">
        <v>1287</v>
      </c>
      <c r="C631" s="9" t="s">
        <v>71</v>
      </c>
      <c r="D631" s="9" t="s">
        <v>476</v>
      </c>
      <c r="E631" s="9" t="s">
        <v>1376</v>
      </c>
      <c r="F631" s="9" t="s">
        <v>36</v>
      </c>
      <c r="G631" s="9" t="s">
        <v>74</v>
      </c>
      <c r="H631" s="9" t="s">
        <v>75</v>
      </c>
      <c r="I631" s="9" t="s">
        <v>38</v>
      </c>
      <c r="J631" s="15">
        <v>960000</v>
      </c>
      <c r="K631" s="15">
        <v>160000</v>
      </c>
    </row>
    <row r="632" spans="1:11">
      <c r="A632" s="9">
        <f t="shared" si="9"/>
        <v>627</v>
      </c>
      <c r="B632" s="9" t="s">
        <v>1287</v>
      </c>
      <c r="C632" s="9" t="s">
        <v>53</v>
      </c>
      <c r="D632" s="9" t="s">
        <v>1377</v>
      </c>
      <c r="E632" s="9" t="s">
        <v>1378</v>
      </c>
      <c r="F632" s="9" t="s">
        <v>1378</v>
      </c>
      <c r="G632" s="9" t="s">
        <v>1185</v>
      </c>
      <c r="H632" s="9" t="s">
        <v>75</v>
      </c>
      <c r="I632" s="9" t="s">
        <v>1186</v>
      </c>
      <c r="J632" s="15">
        <v>161997.18</v>
      </c>
      <c r="K632" s="15">
        <v>26999.53</v>
      </c>
    </row>
    <row r="633" spans="1:11">
      <c r="A633" s="9">
        <f t="shared" si="9"/>
        <v>628</v>
      </c>
      <c r="B633" s="9" t="s">
        <v>1287</v>
      </c>
      <c r="C633" s="9" t="s">
        <v>53</v>
      </c>
      <c r="D633" s="9" t="s">
        <v>1379</v>
      </c>
      <c r="E633" s="9" t="s">
        <v>1378</v>
      </c>
      <c r="F633" s="9" t="s">
        <v>1378</v>
      </c>
      <c r="G633" s="9" t="s">
        <v>1185</v>
      </c>
      <c r="H633" s="9" t="s">
        <v>75</v>
      </c>
      <c r="I633" s="9" t="s">
        <v>1186</v>
      </c>
      <c r="J633" s="15">
        <v>3000</v>
      </c>
      <c r="K633" s="15">
        <v>500</v>
      </c>
    </row>
    <row r="634" spans="1:11">
      <c r="A634" s="9">
        <f t="shared" si="9"/>
        <v>629</v>
      </c>
      <c r="B634" s="9" t="s">
        <v>1287</v>
      </c>
      <c r="C634" s="9" t="s">
        <v>53</v>
      </c>
      <c r="D634" s="9" t="s">
        <v>1380</v>
      </c>
      <c r="E634" s="9" t="s">
        <v>1378</v>
      </c>
      <c r="F634" s="9" t="s">
        <v>1378</v>
      </c>
      <c r="G634" s="9" t="s">
        <v>1185</v>
      </c>
      <c r="H634" s="9" t="s">
        <v>75</v>
      </c>
      <c r="I634" s="9" t="s">
        <v>1186</v>
      </c>
      <c r="J634" s="15">
        <v>30000</v>
      </c>
      <c r="K634" s="15">
        <v>5000</v>
      </c>
    </row>
    <row r="635" spans="1:11">
      <c r="A635" s="9">
        <f t="shared" si="9"/>
        <v>630</v>
      </c>
      <c r="B635" s="9" t="s">
        <v>1287</v>
      </c>
      <c r="C635" s="9" t="s">
        <v>53</v>
      </c>
      <c r="D635" s="9" t="s">
        <v>1381</v>
      </c>
      <c r="E635" s="9" t="s">
        <v>1378</v>
      </c>
      <c r="F635" s="9" t="s">
        <v>1378</v>
      </c>
      <c r="G635" s="9" t="s">
        <v>1382</v>
      </c>
      <c r="H635" s="9" t="s">
        <v>1383</v>
      </c>
      <c r="I635" s="9" t="s">
        <v>1384</v>
      </c>
      <c r="J635" s="15">
        <v>337</v>
      </c>
      <c r="K635" s="15">
        <v>56.17</v>
      </c>
    </row>
    <row r="636" spans="1:11">
      <c r="A636" s="9">
        <f t="shared" si="9"/>
        <v>631</v>
      </c>
      <c r="B636" s="9" t="s">
        <v>1287</v>
      </c>
      <c r="C636" s="9" t="s">
        <v>53</v>
      </c>
      <c r="D636" s="9" t="s">
        <v>1385</v>
      </c>
      <c r="E636" s="9" t="s">
        <v>1378</v>
      </c>
      <c r="F636" s="9" t="s">
        <v>1378</v>
      </c>
      <c r="G636" s="9" t="s">
        <v>1382</v>
      </c>
      <c r="H636" s="9" t="s">
        <v>1383</v>
      </c>
      <c r="I636" s="9" t="s">
        <v>1384</v>
      </c>
      <c r="J636" s="15">
        <v>165</v>
      </c>
      <c r="K636" s="15">
        <v>27.5</v>
      </c>
    </row>
    <row r="637" spans="1:11">
      <c r="A637" s="9">
        <f t="shared" si="9"/>
        <v>632</v>
      </c>
      <c r="B637" s="9" t="s">
        <v>1287</v>
      </c>
      <c r="C637" s="9" t="s">
        <v>53</v>
      </c>
      <c r="D637" s="9" t="s">
        <v>1386</v>
      </c>
      <c r="E637" s="9" t="s">
        <v>1378</v>
      </c>
      <c r="F637" s="9" t="s">
        <v>1378</v>
      </c>
      <c r="G637" s="9" t="s">
        <v>102</v>
      </c>
      <c r="H637" s="9" t="s">
        <v>103</v>
      </c>
      <c r="I637" s="9" t="s">
        <v>104</v>
      </c>
      <c r="J637" s="15">
        <v>4020</v>
      </c>
      <c r="K637" s="15">
        <v>670</v>
      </c>
    </row>
    <row r="638" spans="1:11">
      <c r="A638" s="9">
        <f t="shared" si="9"/>
        <v>633</v>
      </c>
      <c r="B638" s="9" t="s">
        <v>1287</v>
      </c>
      <c r="C638" s="9" t="s">
        <v>53</v>
      </c>
      <c r="D638" s="9" t="s">
        <v>1387</v>
      </c>
      <c r="E638" s="9" t="s">
        <v>1378</v>
      </c>
      <c r="F638" s="9" t="s">
        <v>1378</v>
      </c>
      <c r="G638" s="9" t="s">
        <v>102</v>
      </c>
      <c r="H638" s="9" t="s">
        <v>103</v>
      </c>
      <c r="I638" s="9" t="s">
        <v>104</v>
      </c>
      <c r="J638" s="15">
        <v>480</v>
      </c>
      <c r="K638" s="15">
        <v>80</v>
      </c>
    </row>
    <row r="639" spans="1:11">
      <c r="A639" s="9">
        <f t="shared" si="9"/>
        <v>634</v>
      </c>
      <c r="B639" s="9" t="s">
        <v>1287</v>
      </c>
      <c r="C639" s="9" t="s">
        <v>53</v>
      </c>
      <c r="D639" s="9" t="s">
        <v>1388</v>
      </c>
      <c r="E639" s="9" t="s">
        <v>1378</v>
      </c>
      <c r="F639" s="9" t="s">
        <v>1378</v>
      </c>
      <c r="G639" s="9" t="s">
        <v>983</v>
      </c>
      <c r="H639" s="9" t="s">
        <v>103</v>
      </c>
      <c r="I639" s="9" t="s">
        <v>984</v>
      </c>
      <c r="J639" s="15">
        <v>10282</v>
      </c>
      <c r="K639" s="15">
        <v>1713.67</v>
      </c>
    </row>
    <row r="640" spans="1:11">
      <c r="A640" s="9">
        <f t="shared" si="9"/>
        <v>635</v>
      </c>
      <c r="B640" s="9" t="s">
        <v>1287</v>
      </c>
      <c r="C640" s="9" t="s">
        <v>53</v>
      </c>
      <c r="D640" s="9" t="s">
        <v>1389</v>
      </c>
      <c r="E640" s="9" t="s">
        <v>1378</v>
      </c>
      <c r="F640" s="9" t="s">
        <v>1378</v>
      </c>
      <c r="G640" s="9" t="s">
        <v>983</v>
      </c>
      <c r="H640" s="9" t="s">
        <v>103</v>
      </c>
      <c r="I640" s="9" t="s">
        <v>984</v>
      </c>
      <c r="J640" s="15">
        <v>6710</v>
      </c>
      <c r="K640" s="15">
        <v>1118.33</v>
      </c>
    </row>
    <row r="641" spans="1:11">
      <c r="A641" s="9">
        <f t="shared" si="9"/>
        <v>636</v>
      </c>
      <c r="B641" s="9" t="s">
        <v>1287</v>
      </c>
      <c r="C641" s="9" t="s">
        <v>53</v>
      </c>
      <c r="D641" s="9" t="s">
        <v>1390</v>
      </c>
      <c r="E641" s="9" t="s">
        <v>1391</v>
      </c>
      <c r="F641" s="9" t="s">
        <v>1391</v>
      </c>
      <c r="G641" s="9" t="s">
        <v>1285</v>
      </c>
      <c r="H641" s="9" t="s">
        <v>68</v>
      </c>
      <c r="I641" s="9" t="s">
        <v>1286</v>
      </c>
      <c r="J641" s="15">
        <v>191052</v>
      </c>
      <c r="K641" s="15">
        <v>31842</v>
      </c>
    </row>
    <row r="642" spans="1:11">
      <c r="A642" s="9">
        <f t="shared" si="9"/>
        <v>637</v>
      </c>
      <c r="B642" s="9" t="s">
        <v>1287</v>
      </c>
      <c r="C642" s="9" t="s">
        <v>53</v>
      </c>
      <c r="D642" s="9" t="s">
        <v>1392</v>
      </c>
      <c r="E642" s="9" t="s">
        <v>1391</v>
      </c>
      <c r="F642" s="9" t="s">
        <v>1391</v>
      </c>
      <c r="G642" s="9" t="s">
        <v>313</v>
      </c>
      <c r="H642" s="9" t="s">
        <v>314</v>
      </c>
      <c r="I642" s="9" t="s">
        <v>315</v>
      </c>
      <c r="J642" s="15">
        <v>36000</v>
      </c>
      <c r="K642" s="15">
        <v>6000</v>
      </c>
    </row>
    <row r="643" spans="1:11" ht="30">
      <c r="A643" s="9">
        <f t="shared" si="9"/>
        <v>638</v>
      </c>
      <c r="B643" s="9" t="s">
        <v>1287</v>
      </c>
      <c r="C643" s="9" t="s">
        <v>53</v>
      </c>
      <c r="D643" s="9" t="s">
        <v>1393</v>
      </c>
      <c r="E643" s="9" t="s">
        <v>1391</v>
      </c>
      <c r="F643" s="9" t="s">
        <v>1391</v>
      </c>
      <c r="G643" s="9" t="s">
        <v>510</v>
      </c>
      <c r="H643" s="9" t="s">
        <v>511</v>
      </c>
      <c r="I643" s="9" t="s">
        <v>512</v>
      </c>
      <c r="J643" s="15">
        <v>3060</v>
      </c>
      <c r="K643" s="15">
        <v>510</v>
      </c>
    </row>
    <row r="644" spans="1:11">
      <c r="A644" s="9">
        <f t="shared" si="9"/>
        <v>639</v>
      </c>
      <c r="B644" s="9" t="s">
        <v>1287</v>
      </c>
      <c r="C644" s="9" t="s">
        <v>53</v>
      </c>
      <c r="D644" s="9" t="s">
        <v>1394</v>
      </c>
      <c r="E644" s="9" t="s">
        <v>1395</v>
      </c>
      <c r="F644" s="9" t="s">
        <v>1395</v>
      </c>
      <c r="G644" s="9" t="s">
        <v>760</v>
      </c>
      <c r="H644" s="9" t="s">
        <v>525</v>
      </c>
      <c r="I644" s="9" t="s">
        <v>761</v>
      </c>
      <c r="J644" s="15">
        <v>17000</v>
      </c>
      <c r="K644" s="15">
        <v>2833.33</v>
      </c>
    </row>
    <row r="645" spans="1:11">
      <c r="A645" s="9">
        <f t="shared" si="9"/>
        <v>640</v>
      </c>
      <c r="B645" s="9" t="s">
        <v>1287</v>
      </c>
      <c r="C645" s="9" t="s">
        <v>53</v>
      </c>
      <c r="D645" s="9" t="s">
        <v>1396</v>
      </c>
      <c r="E645" s="9" t="s">
        <v>1395</v>
      </c>
      <c r="F645" s="9" t="s">
        <v>1395</v>
      </c>
      <c r="G645" s="9" t="s">
        <v>1310</v>
      </c>
      <c r="H645" s="9" t="s">
        <v>1311</v>
      </c>
      <c r="I645" s="9" t="s">
        <v>1312</v>
      </c>
      <c r="J645" s="15">
        <v>883050</v>
      </c>
      <c r="K645" s="15">
        <v>147175</v>
      </c>
    </row>
    <row r="646" spans="1:11">
      <c r="A646" s="9">
        <f t="shared" si="9"/>
        <v>641</v>
      </c>
      <c r="B646" s="9" t="s">
        <v>1287</v>
      </c>
      <c r="C646" s="9" t="s">
        <v>71</v>
      </c>
      <c r="D646" s="9" t="s">
        <v>465</v>
      </c>
      <c r="E646" s="9" t="s">
        <v>1367</v>
      </c>
      <c r="F646" s="9" t="s">
        <v>36</v>
      </c>
      <c r="G646" s="9" t="s">
        <v>74</v>
      </c>
      <c r="H646" s="9" t="s">
        <v>75</v>
      </c>
      <c r="I646" s="9" t="s">
        <v>38</v>
      </c>
      <c r="J646" s="15">
        <v>400000</v>
      </c>
      <c r="K646" s="15">
        <v>57240</v>
      </c>
    </row>
    <row r="647" spans="1:11">
      <c r="A647" s="9">
        <f t="shared" ref="A647:A710" si="10">A646+1</f>
        <v>642</v>
      </c>
      <c r="B647" s="9" t="s">
        <v>1287</v>
      </c>
      <c r="C647" s="9" t="s">
        <v>53</v>
      </c>
      <c r="D647" s="9" t="s">
        <v>1397</v>
      </c>
      <c r="E647" s="9" t="s">
        <v>1398</v>
      </c>
      <c r="F647" s="9" t="s">
        <v>1398</v>
      </c>
      <c r="G647" s="9" t="s">
        <v>318</v>
      </c>
      <c r="H647" s="9" t="s">
        <v>864</v>
      </c>
      <c r="I647" s="9" t="s">
        <v>320</v>
      </c>
      <c r="J647" s="15">
        <v>1822</v>
      </c>
      <c r="K647" s="15">
        <v>275.17</v>
      </c>
    </row>
    <row r="648" spans="1:11">
      <c r="A648" s="9">
        <f t="shared" si="10"/>
        <v>643</v>
      </c>
      <c r="B648" s="9" t="s">
        <v>1287</v>
      </c>
      <c r="C648" s="9" t="s">
        <v>53</v>
      </c>
      <c r="D648" s="9" t="s">
        <v>1399</v>
      </c>
      <c r="E648" s="9" t="s">
        <v>1398</v>
      </c>
      <c r="F648" s="9" t="s">
        <v>1398</v>
      </c>
      <c r="G648" s="9" t="s">
        <v>318</v>
      </c>
      <c r="H648" s="9" t="s">
        <v>864</v>
      </c>
      <c r="I648" s="9" t="s">
        <v>320</v>
      </c>
      <c r="J648" s="15">
        <v>300</v>
      </c>
      <c r="K648" s="15">
        <v>50</v>
      </c>
    </row>
    <row r="649" spans="1:11">
      <c r="A649" s="9">
        <f t="shared" si="10"/>
        <v>644</v>
      </c>
      <c r="B649" s="9" t="s">
        <v>1287</v>
      </c>
      <c r="C649" s="9" t="s">
        <v>53</v>
      </c>
      <c r="D649" s="9" t="s">
        <v>367</v>
      </c>
      <c r="E649" s="9" t="s">
        <v>1398</v>
      </c>
      <c r="F649" s="9" t="s">
        <v>1398</v>
      </c>
      <c r="G649" s="9" t="s">
        <v>824</v>
      </c>
      <c r="H649" s="9" t="s">
        <v>75</v>
      </c>
      <c r="I649" s="9" t="s">
        <v>825</v>
      </c>
      <c r="J649" s="15">
        <v>35011.769999999997</v>
      </c>
      <c r="K649" s="15">
        <v>5835.3</v>
      </c>
    </row>
    <row r="650" spans="1:11">
      <c r="A650" s="9">
        <f t="shared" si="10"/>
        <v>645</v>
      </c>
      <c r="B650" s="9" t="s">
        <v>1287</v>
      </c>
      <c r="C650" s="9" t="s">
        <v>71</v>
      </c>
      <c r="D650" s="9" t="s">
        <v>71</v>
      </c>
      <c r="E650" s="9" t="s">
        <v>1257</v>
      </c>
      <c r="F650" s="9" t="s">
        <v>36</v>
      </c>
      <c r="G650" s="9" t="s">
        <v>74</v>
      </c>
      <c r="H650" s="9" t="s">
        <v>75</v>
      </c>
      <c r="I650" s="9" t="s">
        <v>38</v>
      </c>
      <c r="J650" s="15">
        <v>546000</v>
      </c>
      <c r="K650" s="15">
        <v>13910.33</v>
      </c>
    </row>
    <row r="651" spans="1:11">
      <c r="A651" s="9">
        <f t="shared" si="10"/>
        <v>646</v>
      </c>
      <c r="B651" s="9" t="s">
        <v>1287</v>
      </c>
      <c r="C651" s="9" t="s">
        <v>71</v>
      </c>
      <c r="D651" s="9" t="s">
        <v>768</v>
      </c>
      <c r="E651" s="9" t="s">
        <v>1395</v>
      </c>
      <c r="F651" s="9" t="s">
        <v>36</v>
      </c>
      <c r="G651" s="9" t="s">
        <v>74</v>
      </c>
      <c r="H651" s="9" t="s">
        <v>75</v>
      </c>
      <c r="I651" s="9" t="s">
        <v>38</v>
      </c>
      <c r="J651" s="15">
        <v>550000</v>
      </c>
      <c r="K651" s="15">
        <v>91666.67</v>
      </c>
    </row>
    <row r="652" spans="1:11">
      <c r="A652" s="9">
        <f t="shared" si="10"/>
        <v>647</v>
      </c>
      <c r="B652" s="9" t="s">
        <v>1287</v>
      </c>
      <c r="C652" s="9" t="s">
        <v>71</v>
      </c>
      <c r="D652" s="9" t="s">
        <v>1400</v>
      </c>
      <c r="E652" s="9" t="s">
        <v>1398</v>
      </c>
      <c r="F652" s="9" t="s">
        <v>36</v>
      </c>
      <c r="G652" s="9" t="s">
        <v>74</v>
      </c>
      <c r="H652" s="9" t="s">
        <v>75</v>
      </c>
      <c r="I652" s="9" t="s">
        <v>38</v>
      </c>
      <c r="J652" s="15">
        <v>250000</v>
      </c>
      <c r="K652" s="15">
        <v>34823</v>
      </c>
    </row>
    <row r="653" spans="1:11">
      <c r="A653" s="9">
        <f t="shared" si="10"/>
        <v>648</v>
      </c>
      <c r="B653" s="9" t="s">
        <v>1287</v>
      </c>
      <c r="C653" s="9" t="s">
        <v>53</v>
      </c>
      <c r="D653" s="9" t="s">
        <v>1401</v>
      </c>
      <c r="E653" s="9" t="s">
        <v>1402</v>
      </c>
      <c r="F653" s="9" t="s">
        <v>1402</v>
      </c>
      <c r="G653" s="9" t="s">
        <v>1403</v>
      </c>
      <c r="H653" s="9" t="s">
        <v>274</v>
      </c>
      <c r="I653" s="9" t="s">
        <v>1404</v>
      </c>
      <c r="J653" s="15">
        <v>118806</v>
      </c>
      <c r="K653" s="15">
        <v>19801</v>
      </c>
    </row>
    <row r="654" spans="1:11">
      <c r="A654" s="9">
        <f t="shared" si="10"/>
        <v>649</v>
      </c>
      <c r="B654" s="9" t="s">
        <v>1287</v>
      </c>
      <c r="C654" s="9" t="s">
        <v>53</v>
      </c>
      <c r="D654" s="9" t="s">
        <v>1405</v>
      </c>
      <c r="E654" s="9" t="s">
        <v>1402</v>
      </c>
      <c r="F654" s="9" t="s">
        <v>1402</v>
      </c>
      <c r="G654" s="9" t="s">
        <v>1406</v>
      </c>
      <c r="H654" s="9" t="s">
        <v>68</v>
      </c>
      <c r="I654" s="9" t="s">
        <v>1407</v>
      </c>
      <c r="J654" s="15">
        <v>2958</v>
      </c>
      <c r="K654" s="15">
        <v>493</v>
      </c>
    </row>
    <row r="655" spans="1:11">
      <c r="A655" s="9">
        <f t="shared" si="10"/>
        <v>650</v>
      </c>
      <c r="B655" s="9" t="s">
        <v>1287</v>
      </c>
      <c r="C655" s="9" t="s">
        <v>53</v>
      </c>
      <c r="D655" s="9" t="s">
        <v>1408</v>
      </c>
      <c r="E655" s="9" t="s">
        <v>1409</v>
      </c>
      <c r="F655" s="9" t="s">
        <v>1409</v>
      </c>
      <c r="G655" s="9" t="s">
        <v>1410</v>
      </c>
      <c r="H655" s="9" t="s">
        <v>1411</v>
      </c>
      <c r="I655" s="9" t="s">
        <v>1412</v>
      </c>
      <c r="J655" s="15">
        <v>369750</v>
      </c>
      <c r="K655" s="15">
        <v>61625</v>
      </c>
    </row>
    <row r="656" spans="1:11">
      <c r="A656" s="9">
        <f t="shared" si="10"/>
        <v>651</v>
      </c>
      <c r="B656" s="9" t="s">
        <v>1287</v>
      </c>
      <c r="C656" s="9" t="s">
        <v>53</v>
      </c>
      <c r="D656" s="9" t="s">
        <v>1413</v>
      </c>
      <c r="E656" s="9" t="s">
        <v>1414</v>
      </c>
      <c r="F656" s="9" t="s">
        <v>1414</v>
      </c>
      <c r="G656" s="9" t="s">
        <v>1226</v>
      </c>
      <c r="H656" s="9" t="s">
        <v>222</v>
      </c>
      <c r="I656" s="9" t="s">
        <v>1227</v>
      </c>
      <c r="J656" s="15">
        <v>10150</v>
      </c>
      <c r="K656" s="15">
        <v>1691.67</v>
      </c>
    </row>
    <row r="657" spans="1:11">
      <c r="A657" s="9">
        <f t="shared" si="10"/>
        <v>652</v>
      </c>
      <c r="B657" s="9" t="s">
        <v>1287</v>
      </c>
      <c r="C657" s="9" t="s">
        <v>53</v>
      </c>
      <c r="D657" s="9" t="s">
        <v>291</v>
      </c>
      <c r="E657" s="9" t="s">
        <v>1414</v>
      </c>
      <c r="F657" s="9" t="s">
        <v>1414</v>
      </c>
      <c r="G657" s="9" t="s">
        <v>1415</v>
      </c>
      <c r="H657" s="9" t="s">
        <v>1416</v>
      </c>
      <c r="I657" s="9" t="s">
        <v>1417</v>
      </c>
      <c r="J657" s="15">
        <v>194520</v>
      </c>
      <c r="K657" s="15">
        <v>32420</v>
      </c>
    </row>
    <row r="658" spans="1:11">
      <c r="A658" s="9">
        <f t="shared" si="10"/>
        <v>653</v>
      </c>
      <c r="B658" s="9" t="s">
        <v>1287</v>
      </c>
      <c r="C658" s="9" t="s">
        <v>53</v>
      </c>
      <c r="D658" s="9" t="s">
        <v>1418</v>
      </c>
      <c r="E658" s="9" t="s">
        <v>1414</v>
      </c>
      <c r="F658" s="9" t="s">
        <v>1414</v>
      </c>
      <c r="G658" s="9" t="s">
        <v>1419</v>
      </c>
      <c r="H658" s="9" t="s">
        <v>1420</v>
      </c>
      <c r="I658" s="9" t="s">
        <v>1421</v>
      </c>
      <c r="J658" s="15">
        <v>15750</v>
      </c>
      <c r="K658" s="15">
        <v>2625</v>
      </c>
    </row>
    <row r="659" spans="1:11">
      <c r="A659" s="9">
        <f t="shared" si="10"/>
        <v>654</v>
      </c>
      <c r="B659" s="9" t="s">
        <v>1287</v>
      </c>
      <c r="C659" s="9" t="s">
        <v>53</v>
      </c>
      <c r="D659" s="9" t="s">
        <v>1422</v>
      </c>
      <c r="E659" s="9" t="s">
        <v>1423</v>
      </c>
      <c r="F659" s="9" t="s">
        <v>1423</v>
      </c>
      <c r="G659" s="9" t="s">
        <v>1424</v>
      </c>
      <c r="H659" s="9" t="s">
        <v>1425</v>
      </c>
      <c r="I659" s="9" t="s">
        <v>1426</v>
      </c>
      <c r="J659" s="15">
        <v>132240</v>
      </c>
      <c r="K659" s="15">
        <v>22040</v>
      </c>
    </row>
    <row r="660" spans="1:11">
      <c r="A660" s="9">
        <f t="shared" si="10"/>
        <v>655</v>
      </c>
      <c r="B660" s="9" t="s">
        <v>1287</v>
      </c>
      <c r="C660" s="9" t="s">
        <v>53</v>
      </c>
      <c r="D660" s="9" t="s">
        <v>1427</v>
      </c>
      <c r="E660" s="9" t="s">
        <v>1423</v>
      </c>
      <c r="F660" s="9" t="s">
        <v>1423</v>
      </c>
      <c r="G660" s="9" t="s">
        <v>1424</v>
      </c>
      <c r="H660" s="9" t="s">
        <v>1425</v>
      </c>
      <c r="I660" s="9" t="s">
        <v>1426</v>
      </c>
      <c r="J660" s="15">
        <v>607620</v>
      </c>
      <c r="K660" s="15">
        <v>101270</v>
      </c>
    </row>
    <row r="661" spans="1:11">
      <c r="A661" s="9">
        <f t="shared" si="10"/>
        <v>656</v>
      </c>
      <c r="B661" s="9" t="s">
        <v>1287</v>
      </c>
      <c r="C661" s="9" t="s">
        <v>53</v>
      </c>
      <c r="D661" s="9" t="s">
        <v>439</v>
      </c>
      <c r="E661" s="9" t="s">
        <v>1428</v>
      </c>
      <c r="F661" s="9" t="s">
        <v>1428</v>
      </c>
      <c r="G661" s="9" t="s">
        <v>1328</v>
      </c>
      <c r="H661" s="9" t="s">
        <v>1329</v>
      </c>
      <c r="I661" s="9" t="s">
        <v>1330</v>
      </c>
      <c r="J661" s="15">
        <v>116736</v>
      </c>
      <c r="K661" s="15">
        <v>19456</v>
      </c>
    </row>
    <row r="662" spans="1:11">
      <c r="A662" s="9">
        <f t="shared" si="10"/>
        <v>657</v>
      </c>
      <c r="B662" s="9" t="s">
        <v>1287</v>
      </c>
      <c r="C662" s="9" t="s">
        <v>53</v>
      </c>
      <c r="D662" s="9" t="s">
        <v>1429</v>
      </c>
      <c r="E662" s="9" t="s">
        <v>1428</v>
      </c>
      <c r="F662" s="9" t="s">
        <v>1428</v>
      </c>
      <c r="G662" s="9" t="s">
        <v>1419</v>
      </c>
      <c r="H662" s="9" t="s">
        <v>1420</v>
      </c>
      <c r="I662" s="9" t="s">
        <v>1421</v>
      </c>
      <c r="J662" s="15">
        <v>63000</v>
      </c>
      <c r="K662" s="15">
        <v>10500</v>
      </c>
    </row>
    <row r="663" spans="1:11">
      <c r="A663" s="9">
        <f t="shared" si="10"/>
        <v>658</v>
      </c>
      <c r="B663" s="9" t="s">
        <v>1287</v>
      </c>
      <c r="C663" s="9" t="s">
        <v>53</v>
      </c>
      <c r="D663" s="9" t="s">
        <v>1430</v>
      </c>
      <c r="E663" s="9" t="s">
        <v>1428</v>
      </c>
      <c r="F663" s="9" t="s">
        <v>1428</v>
      </c>
      <c r="G663" s="9" t="s">
        <v>1431</v>
      </c>
      <c r="H663" s="9" t="s">
        <v>75</v>
      </c>
      <c r="I663" s="9" t="s">
        <v>1432</v>
      </c>
      <c r="J663" s="15">
        <v>6810</v>
      </c>
      <c r="K663" s="15">
        <v>1135</v>
      </c>
    </row>
    <row r="664" spans="1:11">
      <c r="A664" s="9">
        <f t="shared" si="10"/>
        <v>659</v>
      </c>
      <c r="B664" s="9" t="s">
        <v>1287</v>
      </c>
      <c r="C664" s="9" t="s">
        <v>71</v>
      </c>
      <c r="D664" s="9" t="s">
        <v>1433</v>
      </c>
      <c r="E664" s="9" t="s">
        <v>1414</v>
      </c>
      <c r="F664" s="9" t="s">
        <v>36</v>
      </c>
      <c r="G664" s="9" t="s">
        <v>74</v>
      </c>
      <c r="H664" s="9" t="s">
        <v>75</v>
      </c>
      <c r="I664" s="9" t="s">
        <v>38</v>
      </c>
      <c r="J664" s="15">
        <v>296412</v>
      </c>
      <c r="K664" s="15">
        <v>49402</v>
      </c>
    </row>
    <row r="665" spans="1:11">
      <c r="A665" s="9">
        <f t="shared" si="10"/>
        <v>660</v>
      </c>
      <c r="B665" s="9" t="s">
        <v>1287</v>
      </c>
      <c r="C665" s="9" t="s">
        <v>71</v>
      </c>
      <c r="D665" s="9" t="s">
        <v>1013</v>
      </c>
      <c r="E665" s="9" t="s">
        <v>1428</v>
      </c>
      <c r="F665" s="9" t="s">
        <v>36</v>
      </c>
      <c r="G665" s="9" t="s">
        <v>74</v>
      </c>
      <c r="H665" s="9" t="s">
        <v>75</v>
      </c>
      <c r="I665" s="9" t="s">
        <v>38</v>
      </c>
      <c r="J665" s="15">
        <v>500000</v>
      </c>
      <c r="K665" s="15">
        <v>83333.33</v>
      </c>
    </row>
    <row r="666" spans="1:11">
      <c r="A666" s="9">
        <f t="shared" si="10"/>
        <v>661</v>
      </c>
      <c r="B666" s="9" t="s">
        <v>1287</v>
      </c>
      <c r="C666" s="9" t="s">
        <v>53</v>
      </c>
      <c r="D666" s="9" t="s">
        <v>1434</v>
      </c>
      <c r="E666" s="9" t="s">
        <v>1435</v>
      </c>
      <c r="F666" s="9" t="s">
        <v>1435</v>
      </c>
      <c r="G666" s="9" t="s">
        <v>983</v>
      </c>
      <c r="H666" s="9" t="s">
        <v>103</v>
      </c>
      <c r="I666" s="9" t="s">
        <v>984</v>
      </c>
      <c r="J666" s="15">
        <v>894</v>
      </c>
      <c r="K666" s="15">
        <v>149</v>
      </c>
    </row>
    <row r="667" spans="1:11">
      <c r="A667" s="9">
        <f t="shared" si="10"/>
        <v>662</v>
      </c>
      <c r="B667" s="9" t="s">
        <v>1287</v>
      </c>
      <c r="C667" s="9" t="s">
        <v>53</v>
      </c>
      <c r="D667" s="9" t="s">
        <v>1436</v>
      </c>
      <c r="E667" s="9" t="s">
        <v>1435</v>
      </c>
      <c r="F667" s="9" t="s">
        <v>1435</v>
      </c>
      <c r="G667" s="9" t="s">
        <v>983</v>
      </c>
      <c r="H667" s="9" t="s">
        <v>103</v>
      </c>
      <c r="I667" s="9" t="s">
        <v>984</v>
      </c>
      <c r="J667" s="15">
        <v>467</v>
      </c>
      <c r="K667" s="15">
        <v>77.83</v>
      </c>
    </row>
    <row r="668" spans="1:11">
      <c r="A668" s="9">
        <f t="shared" si="10"/>
        <v>663</v>
      </c>
      <c r="B668" s="9" t="s">
        <v>1287</v>
      </c>
      <c r="C668" s="9" t="s">
        <v>53</v>
      </c>
      <c r="D668" s="9" t="s">
        <v>1437</v>
      </c>
      <c r="E668" s="9" t="s">
        <v>1438</v>
      </c>
      <c r="F668" s="9" t="s">
        <v>1438</v>
      </c>
      <c r="G668" s="9" t="s">
        <v>1185</v>
      </c>
      <c r="H668" s="9" t="s">
        <v>75</v>
      </c>
      <c r="I668" s="9" t="s">
        <v>1186</v>
      </c>
      <c r="J668" s="15">
        <v>25500</v>
      </c>
      <c r="K668" s="15">
        <v>4250</v>
      </c>
    </row>
    <row r="669" spans="1:11">
      <c r="A669" s="9">
        <f t="shared" si="10"/>
        <v>664</v>
      </c>
      <c r="B669" s="9" t="s">
        <v>1287</v>
      </c>
      <c r="C669" s="9" t="s">
        <v>53</v>
      </c>
      <c r="D669" s="9" t="s">
        <v>1439</v>
      </c>
      <c r="E669" s="9" t="s">
        <v>1438</v>
      </c>
      <c r="F669" s="9" t="s">
        <v>1438</v>
      </c>
      <c r="G669" s="9" t="s">
        <v>1185</v>
      </c>
      <c r="H669" s="9" t="s">
        <v>75</v>
      </c>
      <c r="I669" s="9" t="s">
        <v>1186</v>
      </c>
      <c r="J669" s="15">
        <v>47851.58</v>
      </c>
      <c r="K669" s="15">
        <v>7975.26</v>
      </c>
    </row>
    <row r="670" spans="1:11">
      <c r="A670" s="9">
        <f t="shared" si="10"/>
        <v>665</v>
      </c>
      <c r="B670" s="9" t="s">
        <v>1287</v>
      </c>
      <c r="C670" s="9" t="s">
        <v>53</v>
      </c>
      <c r="D670" s="9" t="s">
        <v>1440</v>
      </c>
      <c r="E670" s="9" t="s">
        <v>1438</v>
      </c>
      <c r="F670" s="9" t="s">
        <v>1438</v>
      </c>
      <c r="G670" s="9" t="s">
        <v>983</v>
      </c>
      <c r="H670" s="9" t="s">
        <v>103</v>
      </c>
      <c r="I670" s="9" t="s">
        <v>984</v>
      </c>
      <c r="J670" s="15">
        <v>1</v>
      </c>
      <c r="K670" s="15">
        <v>0.17</v>
      </c>
    </row>
    <row r="671" spans="1:11">
      <c r="A671" s="9">
        <f t="shared" si="10"/>
        <v>666</v>
      </c>
      <c r="B671" s="9" t="s">
        <v>1287</v>
      </c>
      <c r="C671" s="9" t="s">
        <v>53</v>
      </c>
      <c r="D671" s="9" t="s">
        <v>1441</v>
      </c>
      <c r="E671" s="9" t="s">
        <v>1438</v>
      </c>
      <c r="F671" s="9" t="s">
        <v>1438</v>
      </c>
      <c r="G671" s="9" t="s">
        <v>1442</v>
      </c>
      <c r="H671" s="9" t="s">
        <v>314</v>
      </c>
      <c r="I671" s="9" t="s">
        <v>1443</v>
      </c>
      <c r="J671" s="15">
        <v>15000</v>
      </c>
      <c r="K671" s="15">
        <v>2500</v>
      </c>
    </row>
    <row r="672" spans="1:11">
      <c r="A672" s="9">
        <f t="shared" si="10"/>
        <v>667</v>
      </c>
      <c r="B672" s="9" t="s">
        <v>1287</v>
      </c>
      <c r="C672" s="9" t="s">
        <v>53</v>
      </c>
      <c r="D672" s="9" t="s">
        <v>1444</v>
      </c>
      <c r="E672" s="9" t="s">
        <v>1445</v>
      </c>
      <c r="F672" s="9" t="s">
        <v>1445</v>
      </c>
      <c r="G672" s="9" t="s">
        <v>983</v>
      </c>
      <c r="H672" s="9" t="s">
        <v>103</v>
      </c>
      <c r="I672" s="9" t="s">
        <v>984</v>
      </c>
      <c r="J672" s="15">
        <v>5176.0200000000004</v>
      </c>
      <c r="K672" s="15">
        <v>862.68</v>
      </c>
    </row>
    <row r="673" spans="1:11">
      <c r="A673" s="9">
        <f t="shared" si="10"/>
        <v>668</v>
      </c>
      <c r="B673" s="9" t="s">
        <v>1287</v>
      </c>
      <c r="C673" s="9" t="s">
        <v>53</v>
      </c>
      <c r="D673" s="9" t="s">
        <v>1446</v>
      </c>
      <c r="E673" s="9" t="s">
        <v>1445</v>
      </c>
      <c r="F673" s="9" t="s">
        <v>1445</v>
      </c>
      <c r="G673" s="9" t="s">
        <v>983</v>
      </c>
      <c r="H673" s="9" t="s">
        <v>103</v>
      </c>
      <c r="I673" s="9" t="s">
        <v>984</v>
      </c>
      <c r="J673" s="15">
        <v>2830</v>
      </c>
      <c r="K673" s="15">
        <v>471.66</v>
      </c>
    </row>
    <row r="674" spans="1:11">
      <c r="A674" s="9">
        <f t="shared" si="10"/>
        <v>669</v>
      </c>
      <c r="B674" s="9" t="s">
        <v>1287</v>
      </c>
      <c r="C674" s="9" t="s">
        <v>255</v>
      </c>
      <c r="D674" s="9" t="s">
        <v>210</v>
      </c>
      <c r="E674" s="9" t="s">
        <v>1445</v>
      </c>
      <c r="F674" s="9" t="s">
        <v>36</v>
      </c>
      <c r="G674" s="9" t="s">
        <v>1447</v>
      </c>
      <c r="H674" s="9" t="s">
        <v>833</v>
      </c>
      <c r="I674" s="9" t="s">
        <v>1448</v>
      </c>
      <c r="J674" s="15">
        <v>24800</v>
      </c>
      <c r="K674" s="15">
        <v>4133.33</v>
      </c>
    </row>
    <row r="675" spans="1:11">
      <c r="A675" s="9">
        <f t="shared" si="10"/>
        <v>670</v>
      </c>
      <c r="B675" s="9" t="s">
        <v>1287</v>
      </c>
      <c r="C675" s="9" t="s">
        <v>71</v>
      </c>
      <c r="D675" s="9" t="s">
        <v>463</v>
      </c>
      <c r="E675" s="9" t="s">
        <v>1359</v>
      </c>
      <c r="F675" s="9" t="s">
        <v>36</v>
      </c>
      <c r="G675" s="9" t="s">
        <v>74</v>
      </c>
      <c r="H675" s="9" t="s">
        <v>75</v>
      </c>
      <c r="I675" s="9" t="s">
        <v>38</v>
      </c>
      <c r="J675" s="15">
        <v>936000</v>
      </c>
      <c r="K675" s="15">
        <v>156000</v>
      </c>
    </row>
    <row r="676" spans="1:11">
      <c r="A676" s="9">
        <f t="shared" si="10"/>
        <v>671</v>
      </c>
      <c r="B676" s="9" t="s">
        <v>1287</v>
      </c>
      <c r="C676" s="9" t="s">
        <v>71</v>
      </c>
      <c r="D676" s="9" t="s">
        <v>481</v>
      </c>
      <c r="E676" s="9" t="s">
        <v>1449</v>
      </c>
      <c r="F676" s="9" t="s">
        <v>36</v>
      </c>
      <c r="G676" s="9" t="s">
        <v>74</v>
      </c>
      <c r="H676" s="9" t="s">
        <v>75</v>
      </c>
      <c r="I676" s="9" t="s">
        <v>38</v>
      </c>
      <c r="J676" s="15">
        <v>800000</v>
      </c>
      <c r="K676" s="15">
        <v>125936.66</v>
      </c>
    </row>
    <row r="677" spans="1:11">
      <c r="A677" s="9">
        <f t="shared" si="10"/>
        <v>672</v>
      </c>
      <c r="B677" s="9" t="s">
        <v>1287</v>
      </c>
      <c r="C677" s="9" t="s">
        <v>53</v>
      </c>
      <c r="D677" s="9" t="s">
        <v>1450</v>
      </c>
      <c r="E677" s="9" t="s">
        <v>1451</v>
      </c>
      <c r="F677" s="9" t="s">
        <v>1451</v>
      </c>
      <c r="G677" s="9" t="s">
        <v>983</v>
      </c>
      <c r="H677" s="9" t="s">
        <v>103</v>
      </c>
      <c r="I677" s="9" t="s">
        <v>984</v>
      </c>
      <c r="J677" s="15">
        <v>2</v>
      </c>
      <c r="K677" s="15">
        <v>0.34</v>
      </c>
    </row>
    <row r="678" spans="1:11">
      <c r="A678" s="9">
        <f t="shared" si="10"/>
        <v>673</v>
      </c>
      <c r="B678" s="9" t="s">
        <v>1287</v>
      </c>
      <c r="C678" s="9" t="s">
        <v>71</v>
      </c>
      <c r="D678" s="9" t="s">
        <v>1248</v>
      </c>
      <c r="E678" s="9" t="s">
        <v>1220</v>
      </c>
      <c r="F678" s="9" t="s">
        <v>36</v>
      </c>
      <c r="G678" s="9" t="s">
        <v>74</v>
      </c>
      <c r="H678" s="9" t="s">
        <v>75</v>
      </c>
      <c r="I678" s="9" t="s">
        <v>38</v>
      </c>
      <c r="J678" s="15">
        <v>2200000</v>
      </c>
      <c r="K678" s="15">
        <v>42661.67</v>
      </c>
    </row>
    <row r="679" spans="1:11">
      <c r="A679" s="9">
        <f t="shared" si="10"/>
        <v>674</v>
      </c>
      <c r="B679" s="9" t="s">
        <v>1287</v>
      </c>
      <c r="C679" s="9" t="s">
        <v>71</v>
      </c>
      <c r="D679" s="9" t="s">
        <v>182</v>
      </c>
      <c r="E679" s="9" t="s">
        <v>1452</v>
      </c>
      <c r="F679" s="9" t="s">
        <v>36</v>
      </c>
      <c r="G679" s="9" t="s">
        <v>74</v>
      </c>
      <c r="H679" s="9" t="s">
        <v>75</v>
      </c>
      <c r="I679" s="9" t="s">
        <v>38</v>
      </c>
      <c r="J679" s="15">
        <v>51000</v>
      </c>
      <c r="K679" s="15">
        <v>8500</v>
      </c>
    </row>
    <row r="680" spans="1:11">
      <c r="A680" s="9">
        <f t="shared" si="10"/>
        <v>675</v>
      </c>
      <c r="B680" s="9" t="s">
        <v>1287</v>
      </c>
      <c r="C680" s="9" t="s">
        <v>53</v>
      </c>
      <c r="D680" s="9" t="s">
        <v>1453</v>
      </c>
      <c r="E680" s="9" t="s">
        <v>1454</v>
      </c>
      <c r="F680" s="9" t="s">
        <v>1454</v>
      </c>
      <c r="G680" s="9" t="s">
        <v>650</v>
      </c>
      <c r="H680" s="9" t="s">
        <v>651</v>
      </c>
      <c r="I680" s="9" t="s">
        <v>652</v>
      </c>
      <c r="J680" s="15">
        <v>882000</v>
      </c>
      <c r="K680" s="15">
        <v>147000</v>
      </c>
    </row>
    <row r="681" spans="1:11">
      <c r="A681" s="9">
        <f t="shared" si="10"/>
        <v>676</v>
      </c>
      <c r="B681" s="9" t="s">
        <v>1287</v>
      </c>
      <c r="C681" s="9" t="s">
        <v>53</v>
      </c>
      <c r="D681" s="9" t="s">
        <v>1455</v>
      </c>
      <c r="E681" s="9" t="s">
        <v>1456</v>
      </c>
      <c r="F681" s="9" t="s">
        <v>1456</v>
      </c>
      <c r="G681" s="9" t="s">
        <v>299</v>
      </c>
      <c r="H681" s="9" t="s">
        <v>300</v>
      </c>
      <c r="I681" s="9" t="s">
        <v>301</v>
      </c>
      <c r="J681" s="15">
        <v>268710</v>
      </c>
      <c r="K681" s="15">
        <v>44785</v>
      </c>
    </row>
    <row r="682" spans="1:11">
      <c r="A682" s="9">
        <f t="shared" si="10"/>
        <v>677</v>
      </c>
      <c r="B682" s="9" t="s">
        <v>1287</v>
      </c>
      <c r="C682" s="9" t="s">
        <v>71</v>
      </c>
      <c r="D682" s="9" t="s">
        <v>1052</v>
      </c>
      <c r="E682" s="9" t="s">
        <v>1435</v>
      </c>
      <c r="F682" s="9" t="s">
        <v>36</v>
      </c>
      <c r="G682" s="9" t="s">
        <v>74</v>
      </c>
      <c r="H682" s="9" t="s">
        <v>75</v>
      </c>
      <c r="I682" s="9" t="s">
        <v>38</v>
      </c>
      <c r="J682" s="15">
        <v>800000</v>
      </c>
      <c r="K682" s="15">
        <v>133333.32999999999</v>
      </c>
    </row>
    <row r="683" spans="1:11">
      <c r="A683" s="9">
        <f t="shared" si="10"/>
        <v>678</v>
      </c>
      <c r="B683" s="9" t="s">
        <v>1287</v>
      </c>
      <c r="C683" s="9" t="s">
        <v>53</v>
      </c>
      <c r="D683" s="9" t="s">
        <v>1457</v>
      </c>
      <c r="E683" s="9" t="s">
        <v>1458</v>
      </c>
      <c r="F683" s="9" t="s">
        <v>1458</v>
      </c>
      <c r="G683" s="9" t="s">
        <v>56</v>
      </c>
      <c r="H683" s="9" t="s">
        <v>1262</v>
      </c>
      <c r="I683" s="9" t="s">
        <v>58</v>
      </c>
      <c r="J683" s="15">
        <v>621000</v>
      </c>
      <c r="K683" s="15">
        <v>103500</v>
      </c>
    </row>
    <row r="684" spans="1:11">
      <c r="A684" s="9">
        <f t="shared" si="10"/>
        <v>679</v>
      </c>
      <c r="B684" s="9" t="s">
        <v>1287</v>
      </c>
      <c r="C684" s="9" t="s">
        <v>53</v>
      </c>
      <c r="D684" s="9" t="s">
        <v>1459</v>
      </c>
      <c r="E684" s="9" t="s">
        <v>1460</v>
      </c>
      <c r="F684" s="9" t="s">
        <v>1460</v>
      </c>
      <c r="G684" s="9" t="s">
        <v>1185</v>
      </c>
      <c r="H684" s="9" t="s">
        <v>75</v>
      </c>
      <c r="I684" s="9" t="s">
        <v>1186</v>
      </c>
      <c r="J684" s="15">
        <v>162675.44</v>
      </c>
      <c r="K684" s="15">
        <v>27112.57</v>
      </c>
    </row>
    <row r="685" spans="1:11">
      <c r="A685" s="9">
        <f t="shared" si="10"/>
        <v>680</v>
      </c>
      <c r="B685" s="9" t="s">
        <v>1287</v>
      </c>
      <c r="C685" s="9" t="s">
        <v>53</v>
      </c>
      <c r="D685" s="9" t="s">
        <v>1461</v>
      </c>
      <c r="E685" s="9" t="s">
        <v>1460</v>
      </c>
      <c r="F685" s="9" t="s">
        <v>1460</v>
      </c>
      <c r="G685" s="9" t="s">
        <v>1185</v>
      </c>
      <c r="H685" s="9" t="s">
        <v>75</v>
      </c>
      <c r="I685" s="9" t="s">
        <v>1186</v>
      </c>
      <c r="J685" s="15">
        <v>3000</v>
      </c>
      <c r="K685" s="15">
        <v>500</v>
      </c>
    </row>
    <row r="686" spans="1:11">
      <c r="A686" s="9">
        <f t="shared" si="10"/>
        <v>681</v>
      </c>
      <c r="B686" s="9" t="s">
        <v>1287</v>
      </c>
      <c r="C686" s="9" t="s">
        <v>53</v>
      </c>
      <c r="D686" s="9" t="s">
        <v>1462</v>
      </c>
      <c r="E686" s="9" t="s">
        <v>1460</v>
      </c>
      <c r="F686" s="9" t="s">
        <v>1460</v>
      </c>
      <c r="G686" s="9" t="s">
        <v>1185</v>
      </c>
      <c r="H686" s="9" t="s">
        <v>75</v>
      </c>
      <c r="I686" s="9" t="s">
        <v>1186</v>
      </c>
      <c r="J686" s="15">
        <v>30000</v>
      </c>
      <c r="K686" s="15">
        <v>5000</v>
      </c>
    </row>
    <row r="687" spans="1:11">
      <c r="A687" s="9">
        <f t="shared" si="10"/>
        <v>682</v>
      </c>
      <c r="B687" s="9" t="s">
        <v>1287</v>
      </c>
      <c r="C687" s="9" t="s">
        <v>53</v>
      </c>
      <c r="D687" s="9" t="s">
        <v>1463</v>
      </c>
      <c r="E687" s="9" t="s">
        <v>1460</v>
      </c>
      <c r="F687" s="9" t="s">
        <v>1460</v>
      </c>
      <c r="G687" s="9" t="s">
        <v>1382</v>
      </c>
      <c r="H687" s="9" t="s">
        <v>1383</v>
      </c>
      <c r="I687" s="9" t="s">
        <v>1384</v>
      </c>
      <c r="J687" s="15">
        <v>139</v>
      </c>
      <c r="K687" s="15">
        <v>23.17</v>
      </c>
    </row>
    <row r="688" spans="1:11">
      <c r="A688" s="9">
        <f t="shared" si="10"/>
        <v>683</v>
      </c>
      <c r="B688" s="9" t="s">
        <v>1287</v>
      </c>
      <c r="C688" s="9" t="s">
        <v>53</v>
      </c>
      <c r="D688" s="9" t="s">
        <v>1464</v>
      </c>
      <c r="E688" s="9" t="s">
        <v>1460</v>
      </c>
      <c r="F688" s="9" t="s">
        <v>1460</v>
      </c>
      <c r="G688" s="9" t="s">
        <v>1310</v>
      </c>
      <c r="H688" s="9" t="s">
        <v>1311</v>
      </c>
      <c r="I688" s="9" t="s">
        <v>1312</v>
      </c>
      <c r="J688" s="15">
        <v>437400</v>
      </c>
      <c r="K688" s="15">
        <v>72900</v>
      </c>
    </row>
    <row r="689" spans="1:11">
      <c r="A689" s="9">
        <f t="shared" si="10"/>
        <v>684</v>
      </c>
      <c r="B689" s="9" t="s">
        <v>1465</v>
      </c>
      <c r="C689" s="9" t="s">
        <v>53</v>
      </c>
      <c r="D689" s="9" t="s">
        <v>1466</v>
      </c>
      <c r="E689" s="9" t="s">
        <v>1454</v>
      </c>
      <c r="F689" s="9" t="s">
        <v>1467</v>
      </c>
      <c r="G689" s="9" t="s">
        <v>795</v>
      </c>
      <c r="H689" s="9" t="s">
        <v>163</v>
      </c>
      <c r="I689" s="9" t="s">
        <v>796</v>
      </c>
      <c r="J689" s="15">
        <v>61380</v>
      </c>
      <c r="K689" s="15">
        <v>10230</v>
      </c>
    </row>
    <row r="690" spans="1:11">
      <c r="A690" s="9">
        <f t="shared" si="10"/>
        <v>685</v>
      </c>
      <c r="B690" s="9" t="s">
        <v>1465</v>
      </c>
      <c r="C690" s="9" t="s">
        <v>53</v>
      </c>
      <c r="D690" s="9" t="s">
        <v>1468</v>
      </c>
      <c r="E690" s="9" t="s">
        <v>1469</v>
      </c>
      <c r="F690" s="9" t="s">
        <v>1467</v>
      </c>
      <c r="G690" s="9" t="s">
        <v>1285</v>
      </c>
      <c r="H690" s="9" t="s">
        <v>68</v>
      </c>
      <c r="I690" s="9" t="s">
        <v>1286</v>
      </c>
      <c r="J690" s="15">
        <v>130000</v>
      </c>
      <c r="K690" s="15">
        <v>21666.67</v>
      </c>
    </row>
    <row r="691" spans="1:11">
      <c r="A691" s="9">
        <f t="shared" si="10"/>
        <v>686</v>
      </c>
      <c r="B691" s="9" t="s">
        <v>1465</v>
      </c>
      <c r="C691" s="9" t="s">
        <v>53</v>
      </c>
      <c r="D691" s="9" t="s">
        <v>1470</v>
      </c>
      <c r="E691" s="9" t="s">
        <v>1471</v>
      </c>
      <c r="F691" s="9" t="s">
        <v>1471</v>
      </c>
      <c r="G691" s="9" t="s">
        <v>1431</v>
      </c>
      <c r="H691" s="9" t="s">
        <v>75</v>
      </c>
      <c r="I691" s="9" t="s">
        <v>1432</v>
      </c>
      <c r="J691" s="15">
        <v>6810</v>
      </c>
      <c r="K691" s="15">
        <v>1135</v>
      </c>
    </row>
    <row r="692" spans="1:11">
      <c r="A692" s="9">
        <f t="shared" si="10"/>
        <v>687</v>
      </c>
      <c r="B692" s="9" t="s">
        <v>1465</v>
      </c>
      <c r="C692" s="9" t="s">
        <v>71</v>
      </c>
      <c r="D692" s="9" t="s">
        <v>465</v>
      </c>
      <c r="E692" s="9" t="s">
        <v>1367</v>
      </c>
      <c r="F692" s="9" t="s">
        <v>36</v>
      </c>
      <c r="G692" s="9" t="s">
        <v>74</v>
      </c>
      <c r="H692" s="9" t="s">
        <v>75</v>
      </c>
      <c r="I692" s="9" t="s">
        <v>38</v>
      </c>
      <c r="J692" s="15">
        <v>400000</v>
      </c>
      <c r="K692" s="15">
        <v>9426.67</v>
      </c>
    </row>
    <row r="693" spans="1:11">
      <c r="A693" s="9">
        <f t="shared" si="10"/>
        <v>688</v>
      </c>
      <c r="B693" s="9" t="s">
        <v>1465</v>
      </c>
      <c r="C693" s="9" t="s">
        <v>71</v>
      </c>
      <c r="D693" s="9" t="s">
        <v>1083</v>
      </c>
      <c r="E693" s="9" t="s">
        <v>1467</v>
      </c>
      <c r="F693" s="9" t="s">
        <v>36</v>
      </c>
      <c r="G693" s="9" t="s">
        <v>74</v>
      </c>
      <c r="H693" s="9" t="s">
        <v>75</v>
      </c>
      <c r="I693" s="9" t="s">
        <v>38</v>
      </c>
      <c r="J693" s="15">
        <v>353440</v>
      </c>
      <c r="K693" s="15">
        <v>58906.67</v>
      </c>
    </row>
    <row r="694" spans="1:11">
      <c r="A694" s="9">
        <f t="shared" si="10"/>
        <v>689</v>
      </c>
      <c r="B694" s="9" t="s">
        <v>1465</v>
      </c>
      <c r="C694" s="9" t="s">
        <v>255</v>
      </c>
      <c r="D694" s="9" t="s">
        <v>1472</v>
      </c>
      <c r="E694" s="9" t="s">
        <v>1473</v>
      </c>
      <c r="F694" s="9" t="s">
        <v>36</v>
      </c>
      <c r="G694" s="9" t="s">
        <v>1290</v>
      </c>
      <c r="H694" s="9" t="s">
        <v>1291</v>
      </c>
      <c r="I694" s="9" t="s">
        <v>1292</v>
      </c>
      <c r="J694" s="15">
        <v>73722</v>
      </c>
      <c r="K694" s="15">
        <v>12287</v>
      </c>
    </row>
    <row r="695" spans="1:11">
      <c r="A695" s="9">
        <f t="shared" si="10"/>
        <v>690</v>
      </c>
      <c r="B695" s="9" t="s">
        <v>1465</v>
      </c>
      <c r="C695" s="9" t="s">
        <v>53</v>
      </c>
      <c r="D695" s="9" t="s">
        <v>1474</v>
      </c>
      <c r="E695" s="9" t="s">
        <v>1475</v>
      </c>
      <c r="F695" s="9" t="s">
        <v>1475</v>
      </c>
      <c r="G695" s="9" t="s">
        <v>158</v>
      </c>
      <c r="H695" s="9" t="s">
        <v>159</v>
      </c>
      <c r="I695" s="9" t="s">
        <v>160</v>
      </c>
      <c r="J695" s="15">
        <v>33600</v>
      </c>
      <c r="K695" s="15">
        <v>5600</v>
      </c>
    </row>
    <row r="696" spans="1:11">
      <c r="A696" s="9">
        <f t="shared" si="10"/>
        <v>691</v>
      </c>
      <c r="B696" s="9" t="s">
        <v>1465</v>
      </c>
      <c r="C696" s="9" t="s">
        <v>53</v>
      </c>
      <c r="D696" s="9" t="s">
        <v>1476</v>
      </c>
      <c r="E696" s="9" t="s">
        <v>1475</v>
      </c>
      <c r="F696" s="9" t="s">
        <v>1475</v>
      </c>
      <c r="G696" s="9" t="s">
        <v>1442</v>
      </c>
      <c r="H696" s="9" t="s">
        <v>314</v>
      </c>
      <c r="I696" s="9" t="s">
        <v>1443</v>
      </c>
      <c r="J696" s="15">
        <v>14820</v>
      </c>
      <c r="K696" s="15">
        <v>2470</v>
      </c>
    </row>
    <row r="697" spans="1:11">
      <c r="A697" s="9">
        <f t="shared" si="10"/>
        <v>692</v>
      </c>
      <c r="B697" s="9" t="s">
        <v>1465</v>
      </c>
      <c r="C697" s="9" t="s">
        <v>53</v>
      </c>
      <c r="D697" s="9" t="s">
        <v>1477</v>
      </c>
      <c r="E697" s="9" t="s">
        <v>1475</v>
      </c>
      <c r="F697" s="9" t="s">
        <v>1475</v>
      </c>
      <c r="G697" s="9" t="s">
        <v>991</v>
      </c>
      <c r="H697" s="9" t="s">
        <v>327</v>
      </c>
      <c r="I697" s="9" t="s">
        <v>992</v>
      </c>
      <c r="J697" s="15">
        <v>518230</v>
      </c>
      <c r="K697" s="15">
        <v>86371.67</v>
      </c>
    </row>
    <row r="698" spans="1:11">
      <c r="A698" s="9">
        <f t="shared" si="10"/>
        <v>693</v>
      </c>
      <c r="B698" s="9" t="s">
        <v>1465</v>
      </c>
      <c r="C698" s="9" t="s">
        <v>71</v>
      </c>
      <c r="D698" s="9" t="s">
        <v>481</v>
      </c>
      <c r="E698" s="9" t="s">
        <v>1449</v>
      </c>
      <c r="F698" s="9" t="s">
        <v>36</v>
      </c>
      <c r="G698" s="9" t="s">
        <v>74</v>
      </c>
      <c r="H698" s="9" t="s">
        <v>75</v>
      </c>
      <c r="I698" s="9" t="s">
        <v>38</v>
      </c>
      <c r="J698" s="15">
        <v>800000</v>
      </c>
      <c r="K698" s="15">
        <v>7396.67</v>
      </c>
    </row>
    <row r="699" spans="1:11">
      <c r="A699" s="9">
        <f t="shared" si="10"/>
        <v>694</v>
      </c>
      <c r="B699" s="9" t="s">
        <v>1465</v>
      </c>
      <c r="C699" s="9" t="s">
        <v>71</v>
      </c>
      <c r="D699" s="9" t="s">
        <v>1053</v>
      </c>
      <c r="E699" s="9" t="s">
        <v>1438</v>
      </c>
      <c r="F699" s="9" t="s">
        <v>36</v>
      </c>
      <c r="G699" s="9" t="s">
        <v>74</v>
      </c>
      <c r="H699" s="9" t="s">
        <v>75</v>
      </c>
      <c r="I699" s="9" t="s">
        <v>38</v>
      </c>
      <c r="J699" s="15">
        <v>550000</v>
      </c>
      <c r="K699" s="15">
        <v>91666.67</v>
      </c>
    </row>
    <row r="700" spans="1:11">
      <c r="A700" s="9">
        <f t="shared" si="10"/>
        <v>695</v>
      </c>
      <c r="B700" s="9" t="s">
        <v>1465</v>
      </c>
      <c r="C700" s="9" t="s">
        <v>71</v>
      </c>
      <c r="D700" s="9" t="s">
        <v>1134</v>
      </c>
      <c r="E700" s="9" t="s">
        <v>1445</v>
      </c>
      <c r="F700" s="9" t="s">
        <v>36</v>
      </c>
      <c r="G700" s="9" t="s">
        <v>74</v>
      </c>
      <c r="H700" s="9" t="s">
        <v>75</v>
      </c>
      <c r="I700" s="9" t="s">
        <v>38</v>
      </c>
      <c r="J700" s="15">
        <v>250000</v>
      </c>
      <c r="K700" s="15">
        <v>41666.67</v>
      </c>
    </row>
    <row r="701" spans="1:11">
      <c r="A701" s="9">
        <f t="shared" si="10"/>
        <v>696</v>
      </c>
      <c r="B701" s="9" t="s">
        <v>1465</v>
      </c>
      <c r="C701" s="9" t="s">
        <v>53</v>
      </c>
      <c r="D701" s="9" t="s">
        <v>1478</v>
      </c>
      <c r="E701" s="9" t="s">
        <v>1479</v>
      </c>
      <c r="F701" s="9" t="s">
        <v>1479</v>
      </c>
      <c r="G701" s="9" t="s">
        <v>956</v>
      </c>
      <c r="H701" s="9" t="s">
        <v>103</v>
      </c>
      <c r="I701" s="9" t="s">
        <v>957</v>
      </c>
      <c r="J701" s="15">
        <v>2629</v>
      </c>
      <c r="K701" s="15">
        <v>438.17</v>
      </c>
    </row>
    <row r="702" spans="1:11">
      <c r="A702" s="9">
        <f t="shared" si="10"/>
        <v>697</v>
      </c>
      <c r="B702" s="9" t="s">
        <v>1465</v>
      </c>
      <c r="C702" s="9" t="s">
        <v>53</v>
      </c>
      <c r="D702" s="9" t="s">
        <v>1480</v>
      </c>
      <c r="E702" s="9" t="s">
        <v>1479</v>
      </c>
      <c r="F702" s="9" t="s">
        <v>1479</v>
      </c>
      <c r="G702" s="9" t="s">
        <v>650</v>
      </c>
      <c r="H702" s="9" t="s">
        <v>651</v>
      </c>
      <c r="I702" s="9" t="s">
        <v>652</v>
      </c>
      <c r="J702" s="15">
        <v>966770</v>
      </c>
      <c r="K702" s="15">
        <v>161128.32999999999</v>
      </c>
    </row>
    <row r="703" spans="1:11">
      <c r="A703" s="9">
        <f t="shared" si="10"/>
        <v>698</v>
      </c>
      <c r="B703" s="9" t="s">
        <v>1465</v>
      </c>
      <c r="C703" s="9" t="s">
        <v>53</v>
      </c>
      <c r="D703" s="9" t="s">
        <v>1481</v>
      </c>
      <c r="E703" s="9" t="s">
        <v>1482</v>
      </c>
      <c r="F703" s="9" t="s">
        <v>1483</v>
      </c>
      <c r="G703" s="9" t="s">
        <v>650</v>
      </c>
      <c r="H703" s="9" t="s">
        <v>651</v>
      </c>
      <c r="I703" s="9" t="s">
        <v>652</v>
      </c>
      <c r="J703" s="15">
        <v>981600</v>
      </c>
      <c r="K703" s="15">
        <v>163600</v>
      </c>
    </row>
    <row r="704" spans="1:11">
      <c r="A704" s="9">
        <f t="shared" si="10"/>
        <v>699</v>
      </c>
      <c r="B704" s="9" t="s">
        <v>1465</v>
      </c>
      <c r="C704" s="9" t="s">
        <v>53</v>
      </c>
      <c r="D704" s="9" t="s">
        <v>1484</v>
      </c>
      <c r="E704" s="9" t="s">
        <v>1485</v>
      </c>
      <c r="F704" s="9" t="s">
        <v>1483</v>
      </c>
      <c r="G704" s="9" t="s">
        <v>650</v>
      </c>
      <c r="H704" s="9" t="s">
        <v>651</v>
      </c>
      <c r="I704" s="9" t="s">
        <v>652</v>
      </c>
      <c r="J704" s="15">
        <v>960700</v>
      </c>
      <c r="K704" s="15">
        <v>160116.67000000001</v>
      </c>
    </row>
    <row r="705" spans="1:11">
      <c r="A705" s="9">
        <f t="shared" si="10"/>
        <v>700</v>
      </c>
      <c r="B705" s="9" t="s">
        <v>1465</v>
      </c>
      <c r="C705" s="9" t="s">
        <v>71</v>
      </c>
      <c r="D705" s="9" t="s">
        <v>1101</v>
      </c>
      <c r="E705" s="9" t="s">
        <v>1479</v>
      </c>
      <c r="F705" s="9" t="s">
        <v>36</v>
      </c>
      <c r="G705" s="9" t="s">
        <v>74</v>
      </c>
      <c r="H705" s="9" t="s">
        <v>75</v>
      </c>
      <c r="I705" s="9" t="s">
        <v>38</v>
      </c>
      <c r="J705" s="15">
        <v>402866</v>
      </c>
      <c r="K705" s="15">
        <v>67144.33</v>
      </c>
    </row>
    <row r="706" spans="1:11">
      <c r="A706" s="9">
        <f t="shared" si="10"/>
        <v>701</v>
      </c>
      <c r="B706" s="9" t="s">
        <v>1465</v>
      </c>
      <c r="C706" s="9" t="s">
        <v>53</v>
      </c>
      <c r="D706" s="9" t="s">
        <v>1486</v>
      </c>
      <c r="E706" s="9" t="s">
        <v>1487</v>
      </c>
      <c r="F706" s="9" t="s">
        <v>1487</v>
      </c>
      <c r="G706" s="9" t="s">
        <v>1488</v>
      </c>
      <c r="H706" s="9" t="s">
        <v>68</v>
      </c>
      <c r="I706" s="9" t="s">
        <v>1489</v>
      </c>
      <c r="J706" s="15">
        <v>36000</v>
      </c>
      <c r="K706" s="15">
        <v>6000</v>
      </c>
    </row>
    <row r="707" spans="1:11">
      <c r="A707" s="9">
        <f t="shared" si="10"/>
        <v>702</v>
      </c>
      <c r="B707" s="9" t="s">
        <v>1465</v>
      </c>
      <c r="C707" s="9" t="s">
        <v>53</v>
      </c>
      <c r="D707" s="9" t="s">
        <v>1490</v>
      </c>
      <c r="E707" s="9" t="s">
        <v>1487</v>
      </c>
      <c r="F707" s="9" t="s">
        <v>1487</v>
      </c>
      <c r="G707" s="9" t="s">
        <v>1491</v>
      </c>
      <c r="H707" s="9" t="s">
        <v>233</v>
      </c>
      <c r="I707" s="9" t="s">
        <v>1492</v>
      </c>
      <c r="J707" s="15">
        <v>50400</v>
      </c>
      <c r="K707" s="15">
        <v>8400</v>
      </c>
    </row>
    <row r="708" spans="1:11" ht="30">
      <c r="A708" s="9">
        <f t="shared" si="10"/>
        <v>703</v>
      </c>
      <c r="B708" s="9" t="s">
        <v>1465</v>
      </c>
      <c r="C708" s="9" t="s">
        <v>53</v>
      </c>
      <c r="D708" s="9" t="s">
        <v>1493</v>
      </c>
      <c r="E708" s="9" t="s">
        <v>1487</v>
      </c>
      <c r="F708" s="9" t="s">
        <v>1487</v>
      </c>
      <c r="G708" s="9" t="s">
        <v>262</v>
      </c>
      <c r="H708" s="9" t="s">
        <v>1494</v>
      </c>
      <c r="I708" s="9" t="s">
        <v>264</v>
      </c>
      <c r="J708" s="15">
        <v>272829</v>
      </c>
      <c r="K708" s="15">
        <v>45471.5</v>
      </c>
    </row>
    <row r="709" spans="1:11">
      <c r="A709" s="9">
        <f t="shared" si="10"/>
        <v>704</v>
      </c>
      <c r="B709" s="9" t="s">
        <v>1465</v>
      </c>
      <c r="C709" s="9" t="s">
        <v>53</v>
      </c>
      <c r="D709" s="9" t="s">
        <v>1495</v>
      </c>
      <c r="E709" s="9" t="s">
        <v>1496</v>
      </c>
      <c r="F709" s="9" t="s">
        <v>1496</v>
      </c>
      <c r="G709" s="9" t="s">
        <v>1185</v>
      </c>
      <c r="H709" s="9" t="s">
        <v>75</v>
      </c>
      <c r="I709" s="9" t="s">
        <v>1186</v>
      </c>
      <c r="J709" s="15">
        <v>39893.94</v>
      </c>
      <c r="K709" s="15">
        <v>6648.99</v>
      </c>
    </row>
    <row r="710" spans="1:11">
      <c r="A710" s="9">
        <f t="shared" si="10"/>
        <v>705</v>
      </c>
      <c r="B710" s="9" t="s">
        <v>1465</v>
      </c>
      <c r="C710" s="9" t="s">
        <v>53</v>
      </c>
      <c r="D710" s="9" t="s">
        <v>325</v>
      </c>
      <c r="E710" s="9" t="s">
        <v>1482</v>
      </c>
      <c r="F710" s="9" t="s">
        <v>1482</v>
      </c>
      <c r="G710" s="9" t="s">
        <v>991</v>
      </c>
      <c r="H710" s="9" t="s">
        <v>327</v>
      </c>
      <c r="I710" s="9" t="s">
        <v>992</v>
      </c>
      <c r="J710" s="15">
        <v>496860</v>
      </c>
      <c r="K710" s="15">
        <v>82810</v>
      </c>
    </row>
    <row r="711" spans="1:11">
      <c r="A711" s="9">
        <f t="shared" ref="A711:A774" si="11">A710+1</f>
        <v>706</v>
      </c>
      <c r="B711" s="9" t="s">
        <v>1465</v>
      </c>
      <c r="C711" s="9" t="s">
        <v>53</v>
      </c>
      <c r="D711" s="9" t="s">
        <v>1441</v>
      </c>
      <c r="E711" s="9" t="s">
        <v>1482</v>
      </c>
      <c r="F711" s="9" t="s">
        <v>1482</v>
      </c>
      <c r="G711" s="9" t="s">
        <v>162</v>
      </c>
      <c r="H711" s="9" t="s">
        <v>163</v>
      </c>
      <c r="I711" s="9" t="s">
        <v>164</v>
      </c>
      <c r="J711" s="15">
        <v>16600</v>
      </c>
      <c r="K711" s="15">
        <v>2766.67</v>
      </c>
    </row>
    <row r="712" spans="1:11">
      <c r="A712" s="9">
        <f t="shared" si="11"/>
        <v>707</v>
      </c>
      <c r="B712" s="9" t="s">
        <v>1465</v>
      </c>
      <c r="C712" s="9" t="s">
        <v>53</v>
      </c>
      <c r="D712" s="9" t="s">
        <v>1497</v>
      </c>
      <c r="E712" s="9" t="s">
        <v>1482</v>
      </c>
      <c r="F712" s="9" t="s">
        <v>1482</v>
      </c>
      <c r="G712" s="9" t="s">
        <v>888</v>
      </c>
      <c r="H712" s="9" t="s">
        <v>500</v>
      </c>
      <c r="I712" s="9" t="s">
        <v>889</v>
      </c>
      <c r="J712" s="15">
        <v>389200</v>
      </c>
      <c r="K712" s="15">
        <v>64866.67</v>
      </c>
    </row>
    <row r="713" spans="1:11">
      <c r="A713" s="9">
        <f t="shared" si="11"/>
        <v>708</v>
      </c>
      <c r="B713" s="9" t="s">
        <v>1465</v>
      </c>
      <c r="C713" s="9" t="s">
        <v>71</v>
      </c>
      <c r="D713" s="9" t="s">
        <v>1135</v>
      </c>
      <c r="E713" s="9" t="s">
        <v>1467</v>
      </c>
      <c r="F713" s="9" t="s">
        <v>36</v>
      </c>
      <c r="G713" s="9" t="s">
        <v>74</v>
      </c>
      <c r="H713" s="9" t="s">
        <v>75</v>
      </c>
      <c r="I713" s="9" t="s">
        <v>38</v>
      </c>
      <c r="J713" s="15">
        <v>1498970</v>
      </c>
      <c r="K713" s="15">
        <v>249828.33</v>
      </c>
    </row>
    <row r="714" spans="1:11">
      <c r="A714" s="9">
        <f t="shared" si="11"/>
        <v>709</v>
      </c>
      <c r="B714" s="9" t="s">
        <v>1465</v>
      </c>
      <c r="C714" s="9" t="s">
        <v>71</v>
      </c>
      <c r="D714" s="9" t="s">
        <v>1112</v>
      </c>
      <c r="E714" s="9" t="s">
        <v>1479</v>
      </c>
      <c r="F714" s="9" t="s">
        <v>36</v>
      </c>
      <c r="G714" s="9" t="s">
        <v>74</v>
      </c>
      <c r="H714" s="9" t="s">
        <v>75</v>
      </c>
      <c r="I714" s="9" t="s">
        <v>38</v>
      </c>
      <c r="J714" s="15">
        <v>820000</v>
      </c>
      <c r="K714" s="15">
        <v>136666.67000000001</v>
      </c>
    </row>
    <row r="715" spans="1:11">
      <c r="A715" s="9">
        <f t="shared" si="11"/>
        <v>710</v>
      </c>
      <c r="B715" s="9" t="s">
        <v>1465</v>
      </c>
      <c r="C715" s="9" t="s">
        <v>53</v>
      </c>
      <c r="D715" s="9" t="s">
        <v>1498</v>
      </c>
      <c r="E715" s="9" t="s">
        <v>1499</v>
      </c>
      <c r="F715" s="9" t="s">
        <v>1499</v>
      </c>
      <c r="G715" s="9" t="s">
        <v>318</v>
      </c>
      <c r="H715" s="9" t="s">
        <v>864</v>
      </c>
      <c r="I715" s="9" t="s">
        <v>320</v>
      </c>
      <c r="J715" s="15">
        <v>932</v>
      </c>
      <c r="K715" s="15">
        <v>134.66999999999999</v>
      </c>
    </row>
    <row r="716" spans="1:11">
      <c r="A716" s="9">
        <f t="shared" si="11"/>
        <v>711</v>
      </c>
      <c r="B716" s="9" t="s">
        <v>1465</v>
      </c>
      <c r="C716" s="9" t="s">
        <v>53</v>
      </c>
      <c r="D716" s="9" t="s">
        <v>1500</v>
      </c>
      <c r="E716" s="9" t="s">
        <v>1499</v>
      </c>
      <c r="F716" s="9" t="s">
        <v>1499</v>
      </c>
      <c r="G716" s="9" t="s">
        <v>1501</v>
      </c>
      <c r="H716" s="9" t="s">
        <v>195</v>
      </c>
      <c r="I716" s="9" t="s">
        <v>1502</v>
      </c>
      <c r="J716" s="15">
        <v>13040</v>
      </c>
      <c r="K716" s="15">
        <v>2173.33</v>
      </c>
    </row>
    <row r="717" spans="1:11">
      <c r="A717" s="9">
        <f t="shared" si="11"/>
        <v>712</v>
      </c>
      <c r="B717" s="9" t="s">
        <v>1465</v>
      </c>
      <c r="C717" s="9" t="s">
        <v>53</v>
      </c>
      <c r="D717" s="9" t="s">
        <v>1503</v>
      </c>
      <c r="E717" s="9" t="s">
        <v>1504</v>
      </c>
      <c r="F717" s="9" t="s">
        <v>1504</v>
      </c>
      <c r="G717" s="9" t="s">
        <v>1185</v>
      </c>
      <c r="H717" s="9" t="s">
        <v>75</v>
      </c>
      <c r="I717" s="9" t="s">
        <v>1186</v>
      </c>
      <c r="J717" s="15">
        <v>41612.9</v>
      </c>
      <c r="K717" s="15">
        <v>6935.48</v>
      </c>
    </row>
    <row r="718" spans="1:11">
      <c r="A718" s="9">
        <f t="shared" si="11"/>
        <v>713</v>
      </c>
      <c r="B718" s="9" t="s">
        <v>1465</v>
      </c>
      <c r="C718" s="9" t="s">
        <v>53</v>
      </c>
      <c r="D718" s="9" t="s">
        <v>1505</v>
      </c>
      <c r="E718" s="9" t="s">
        <v>1506</v>
      </c>
      <c r="F718" s="9" t="s">
        <v>1506</v>
      </c>
      <c r="G718" s="9" t="s">
        <v>102</v>
      </c>
      <c r="H718" s="9" t="s">
        <v>103</v>
      </c>
      <c r="I718" s="9" t="s">
        <v>104</v>
      </c>
      <c r="J718" s="15">
        <v>4393</v>
      </c>
      <c r="K718" s="15">
        <v>732.17</v>
      </c>
    </row>
    <row r="719" spans="1:11">
      <c r="A719" s="9">
        <f t="shared" si="11"/>
        <v>714</v>
      </c>
      <c r="B719" s="9" t="s">
        <v>1465</v>
      </c>
      <c r="C719" s="9" t="s">
        <v>53</v>
      </c>
      <c r="D719" s="9" t="s">
        <v>1507</v>
      </c>
      <c r="E719" s="9" t="s">
        <v>1506</v>
      </c>
      <c r="F719" s="9" t="s">
        <v>1506</v>
      </c>
      <c r="G719" s="9" t="s">
        <v>102</v>
      </c>
      <c r="H719" s="9" t="s">
        <v>103</v>
      </c>
      <c r="I719" s="9" t="s">
        <v>104</v>
      </c>
      <c r="J719" s="15">
        <v>520</v>
      </c>
      <c r="K719" s="15">
        <v>86.67</v>
      </c>
    </row>
    <row r="720" spans="1:11">
      <c r="A720" s="9">
        <f t="shared" si="11"/>
        <v>715</v>
      </c>
      <c r="B720" s="9" t="s">
        <v>1465</v>
      </c>
      <c r="C720" s="9" t="s">
        <v>71</v>
      </c>
      <c r="D720" s="9" t="s">
        <v>1099</v>
      </c>
      <c r="E720" s="9" t="s">
        <v>1479</v>
      </c>
      <c r="F720" s="9" t="s">
        <v>36</v>
      </c>
      <c r="G720" s="9" t="s">
        <v>74</v>
      </c>
      <c r="H720" s="9" t="s">
        <v>75</v>
      </c>
      <c r="I720" s="9" t="s">
        <v>38</v>
      </c>
      <c r="J720" s="15">
        <v>405434</v>
      </c>
      <c r="K720" s="15">
        <v>67572.33</v>
      </c>
    </row>
    <row r="721" spans="1:11">
      <c r="A721" s="9">
        <f t="shared" si="11"/>
        <v>716</v>
      </c>
      <c r="B721" s="9" t="s">
        <v>1465</v>
      </c>
      <c r="C721" s="9" t="s">
        <v>71</v>
      </c>
      <c r="D721" s="9" t="s">
        <v>1129</v>
      </c>
      <c r="E721" s="9" t="s">
        <v>1483</v>
      </c>
      <c r="F721" s="9" t="s">
        <v>36</v>
      </c>
      <c r="G721" s="9" t="s">
        <v>74</v>
      </c>
      <c r="H721" s="9" t="s">
        <v>75</v>
      </c>
      <c r="I721" s="9" t="s">
        <v>38</v>
      </c>
      <c r="J721" s="15">
        <v>410000</v>
      </c>
      <c r="K721" s="15">
        <v>68333.33</v>
      </c>
    </row>
    <row r="722" spans="1:11">
      <c r="A722" s="9">
        <f t="shared" si="11"/>
        <v>717</v>
      </c>
      <c r="B722" s="9" t="s">
        <v>1465</v>
      </c>
      <c r="C722" s="9" t="s">
        <v>53</v>
      </c>
      <c r="D722" s="9" t="s">
        <v>1508</v>
      </c>
      <c r="E722" s="9" t="s">
        <v>1509</v>
      </c>
      <c r="F722" s="9" t="s">
        <v>1509</v>
      </c>
      <c r="G722" s="9" t="s">
        <v>1233</v>
      </c>
      <c r="H722" s="9" t="s">
        <v>300</v>
      </c>
      <c r="I722" s="9" t="s">
        <v>1234</v>
      </c>
      <c r="J722" s="15">
        <v>4200</v>
      </c>
      <c r="K722" s="15">
        <v>700</v>
      </c>
    </row>
    <row r="723" spans="1:11">
      <c r="A723" s="9">
        <f t="shared" si="11"/>
        <v>718</v>
      </c>
      <c r="B723" s="9" t="s">
        <v>1465</v>
      </c>
      <c r="C723" s="9" t="s">
        <v>53</v>
      </c>
      <c r="D723" s="9" t="s">
        <v>1510</v>
      </c>
      <c r="E723" s="9" t="s">
        <v>1511</v>
      </c>
      <c r="F723" s="9" t="s">
        <v>1485</v>
      </c>
      <c r="G723" s="9" t="s">
        <v>650</v>
      </c>
      <c r="H723" s="9" t="s">
        <v>651</v>
      </c>
      <c r="I723" s="9" t="s">
        <v>652</v>
      </c>
      <c r="J723" s="15">
        <v>995400</v>
      </c>
      <c r="K723" s="15">
        <v>165900</v>
      </c>
    </row>
    <row r="724" spans="1:11">
      <c r="A724" s="9">
        <f t="shared" si="11"/>
        <v>719</v>
      </c>
      <c r="B724" s="9" t="s">
        <v>1465</v>
      </c>
      <c r="C724" s="9" t="s">
        <v>71</v>
      </c>
      <c r="D724" s="9" t="s">
        <v>1152</v>
      </c>
      <c r="E724" s="9" t="s">
        <v>1504</v>
      </c>
      <c r="F724" s="9" t="s">
        <v>36</v>
      </c>
      <c r="G724" s="9" t="s">
        <v>74</v>
      </c>
      <c r="H724" s="9" t="s">
        <v>75</v>
      </c>
      <c r="I724" s="9" t="s">
        <v>38</v>
      </c>
      <c r="J724" s="15">
        <v>255970</v>
      </c>
      <c r="K724" s="15">
        <v>42661.67</v>
      </c>
    </row>
    <row r="725" spans="1:11">
      <c r="A725" s="9">
        <f t="shared" si="11"/>
        <v>720</v>
      </c>
      <c r="B725" s="9" t="s">
        <v>1465</v>
      </c>
      <c r="C725" s="9" t="s">
        <v>53</v>
      </c>
      <c r="D725" s="9" t="s">
        <v>1512</v>
      </c>
      <c r="E725" s="9" t="s">
        <v>1513</v>
      </c>
      <c r="F725" s="9" t="s">
        <v>1513</v>
      </c>
      <c r="G725" s="9" t="s">
        <v>158</v>
      </c>
      <c r="H725" s="9" t="s">
        <v>159</v>
      </c>
      <c r="I725" s="9" t="s">
        <v>160</v>
      </c>
      <c r="J725" s="15">
        <v>33600</v>
      </c>
      <c r="K725" s="15">
        <v>5600</v>
      </c>
    </row>
    <row r="726" spans="1:11">
      <c r="A726" s="9">
        <f t="shared" si="11"/>
        <v>721</v>
      </c>
      <c r="B726" s="9" t="s">
        <v>1465</v>
      </c>
      <c r="C726" s="9" t="s">
        <v>71</v>
      </c>
      <c r="D726" s="9" t="s">
        <v>1158</v>
      </c>
      <c r="E726" s="9" t="s">
        <v>1509</v>
      </c>
      <c r="F726" s="9" t="s">
        <v>36</v>
      </c>
      <c r="G726" s="9" t="s">
        <v>74</v>
      </c>
      <c r="H726" s="9" t="s">
        <v>75</v>
      </c>
      <c r="I726" s="9" t="s">
        <v>38</v>
      </c>
      <c r="J726" s="15">
        <v>409754</v>
      </c>
      <c r="K726" s="15">
        <v>68292.33</v>
      </c>
    </row>
    <row r="727" spans="1:11">
      <c r="A727" s="9">
        <f t="shared" si="11"/>
        <v>722</v>
      </c>
      <c r="B727" s="9" t="s">
        <v>1465</v>
      </c>
      <c r="C727" s="9" t="s">
        <v>53</v>
      </c>
      <c r="D727" s="9" t="s">
        <v>1514</v>
      </c>
      <c r="E727" s="9" t="s">
        <v>1513</v>
      </c>
      <c r="F727" s="9" t="s">
        <v>1513</v>
      </c>
      <c r="G727" s="9" t="s">
        <v>1515</v>
      </c>
      <c r="H727" s="9" t="s">
        <v>472</v>
      </c>
      <c r="I727" s="9" t="s">
        <v>1516</v>
      </c>
      <c r="J727" s="15">
        <v>1086350</v>
      </c>
      <c r="K727" s="15">
        <v>181058.33</v>
      </c>
    </row>
    <row r="728" spans="1:11">
      <c r="A728" s="9">
        <f t="shared" si="11"/>
        <v>723</v>
      </c>
      <c r="B728" s="9" t="s">
        <v>1465</v>
      </c>
      <c r="C728" s="9" t="s">
        <v>255</v>
      </c>
      <c r="D728" s="9" t="s">
        <v>1517</v>
      </c>
      <c r="E728" s="9" t="s">
        <v>1518</v>
      </c>
      <c r="F728" s="9" t="s">
        <v>36</v>
      </c>
      <c r="G728" s="9" t="s">
        <v>1290</v>
      </c>
      <c r="H728" s="9" t="s">
        <v>1291</v>
      </c>
      <c r="I728" s="9" t="s">
        <v>1292</v>
      </c>
      <c r="J728" s="15">
        <v>73722</v>
      </c>
      <c r="K728" s="15">
        <v>12287</v>
      </c>
    </row>
    <row r="729" spans="1:11">
      <c r="A729" s="9">
        <f t="shared" si="11"/>
        <v>724</v>
      </c>
      <c r="B729" s="9" t="s">
        <v>1465</v>
      </c>
      <c r="C729" s="9" t="s">
        <v>53</v>
      </c>
      <c r="D729" s="9" t="s">
        <v>1519</v>
      </c>
      <c r="E729" s="9" t="s">
        <v>1518</v>
      </c>
      <c r="F729" s="9" t="s">
        <v>1518</v>
      </c>
      <c r="G729" s="9" t="s">
        <v>313</v>
      </c>
      <c r="H729" s="9" t="s">
        <v>314</v>
      </c>
      <c r="I729" s="9" t="s">
        <v>315</v>
      </c>
      <c r="J729" s="15">
        <v>36000</v>
      </c>
      <c r="K729" s="15">
        <v>6000</v>
      </c>
    </row>
    <row r="730" spans="1:11">
      <c r="A730" s="9">
        <f t="shared" si="11"/>
        <v>725</v>
      </c>
      <c r="B730" s="9" t="s">
        <v>1465</v>
      </c>
      <c r="C730" s="9" t="s">
        <v>53</v>
      </c>
      <c r="D730" s="9" t="s">
        <v>1520</v>
      </c>
      <c r="E730" s="9" t="s">
        <v>1521</v>
      </c>
      <c r="F730" s="9" t="s">
        <v>1521</v>
      </c>
      <c r="G730" s="9" t="s">
        <v>1185</v>
      </c>
      <c r="H730" s="9" t="s">
        <v>75</v>
      </c>
      <c r="I730" s="9" t="s">
        <v>1186</v>
      </c>
      <c r="J730" s="15">
        <v>166854.97</v>
      </c>
      <c r="K730" s="15">
        <v>27809.16</v>
      </c>
    </row>
    <row r="731" spans="1:11">
      <c r="A731" s="9">
        <f t="shared" si="11"/>
        <v>726</v>
      </c>
      <c r="B731" s="9" t="s">
        <v>1465</v>
      </c>
      <c r="C731" s="9" t="s">
        <v>53</v>
      </c>
      <c r="D731" s="9" t="s">
        <v>1522</v>
      </c>
      <c r="E731" s="9" t="s">
        <v>1521</v>
      </c>
      <c r="F731" s="9" t="s">
        <v>1521</v>
      </c>
      <c r="G731" s="9" t="s">
        <v>1185</v>
      </c>
      <c r="H731" s="9" t="s">
        <v>75</v>
      </c>
      <c r="I731" s="9" t="s">
        <v>1186</v>
      </c>
      <c r="J731" s="15">
        <v>3000</v>
      </c>
      <c r="K731" s="15">
        <v>500</v>
      </c>
    </row>
    <row r="732" spans="1:11">
      <c r="A732" s="9">
        <f t="shared" si="11"/>
        <v>727</v>
      </c>
      <c r="B732" s="9" t="s">
        <v>1465</v>
      </c>
      <c r="C732" s="9" t="s">
        <v>53</v>
      </c>
      <c r="D732" s="9" t="s">
        <v>1523</v>
      </c>
      <c r="E732" s="9" t="s">
        <v>1521</v>
      </c>
      <c r="F732" s="9" t="s">
        <v>1521</v>
      </c>
      <c r="G732" s="9" t="s">
        <v>1185</v>
      </c>
      <c r="H732" s="9" t="s">
        <v>75</v>
      </c>
      <c r="I732" s="9" t="s">
        <v>1186</v>
      </c>
      <c r="J732" s="15">
        <v>30000</v>
      </c>
      <c r="K732" s="15">
        <v>5000</v>
      </c>
    </row>
    <row r="733" spans="1:11">
      <c r="A733" s="9">
        <f t="shared" si="11"/>
        <v>728</v>
      </c>
      <c r="B733" s="9" t="s">
        <v>1465</v>
      </c>
      <c r="C733" s="9" t="s">
        <v>53</v>
      </c>
      <c r="D733" s="9" t="s">
        <v>1524</v>
      </c>
      <c r="E733" s="9" t="s">
        <v>1521</v>
      </c>
      <c r="F733" s="9" t="s">
        <v>1521</v>
      </c>
      <c r="G733" s="9" t="s">
        <v>1382</v>
      </c>
      <c r="H733" s="9" t="s">
        <v>1383</v>
      </c>
      <c r="I733" s="9" t="s">
        <v>1384</v>
      </c>
      <c r="J733" s="15">
        <v>139</v>
      </c>
      <c r="K733" s="15">
        <v>23.17</v>
      </c>
    </row>
    <row r="734" spans="1:11">
      <c r="A734" s="9">
        <f t="shared" si="11"/>
        <v>729</v>
      </c>
      <c r="B734" s="9" t="s">
        <v>1465</v>
      </c>
      <c r="C734" s="9" t="s">
        <v>53</v>
      </c>
      <c r="D734" s="9" t="s">
        <v>1525</v>
      </c>
      <c r="E734" s="9" t="s">
        <v>1521</v>
      </c>
      <c r="F734" s="9" t="s">
        <v>1521</v>
      </c>
      <c r="G734" s="9" t="s">
        <v>1382</v>
      </c>
      <c r="H734" s="9" t="s">
        <v>1383</v>
      </c>
      <c r="I734" s="9" t="s">
        <v>1384</v>
      </c>
      <c r="J734" s="15">
        <v>110</v>
      </c>
      <c r="K734" s="15">
        <v>18.329999999999998</v>
      </c>
    </row>
    <row r="735" spans="1:11">
      <c r="A735" s="9">
        <f t="shared" si="11"/>
        <v>730</v>
      </c>
      <c r="B735" s="9" t="s">
        <v>1465</v>
      </c>
      <c r="C735" s="9" t="s">
        <v>53</v>
      </c>
      <c r="D735" s="9" t="s">
        <v>1526</v>
      </c>
      <c r="E735" s="9" t="s">
        <v>1527</v>
      </c>
      <c r="F735" s="9" t="s">
        <v>1527</v>
      </c>
      <c r="G735" s="9" t="s">
        <v>1237</v>
      </c>
      <c r="H735" s="9" t="s">
        <v>1238</v>
      </c>
      <c r="I735" s="9" t="s">
        <v>1239</v>
      </c>
      <c r="J735" s="15">
        <v>63468.35</v>
      </c>
      <c r="K735" s="15">
        <v>10578.05</v>
      </c>
    </row>
    <row r="736" spans="1:11">
      <c r="A736" s="9">
        <f t="shared" si="11"/>
        <v>731</v>
      </c>
      <c r="B736" s="9" t="s">
        <v>1465</v>
      </c>
      <c r="C736" s="9" t="s">
        <v>53</v>
      </c>
      <c r="D736" s="9" t="s">
        <v>1528</v>
      </c>
      <c r="E736" s="9" t="s">
        <v>1529</v>
      </c>
      <c r="F736" s="9" t="s">
        <v>1529</v>
      </c>
      <c r="G736" s="9" t="s">
        <v>56</v>
      </c>
      <c r="H736" s="9" t="s">
        <v>1262</v>
      </c>
      <c r="I736" s="9" t="s">
        <v>58</v>
      </c>
      <c r="J736" s="15">
        <v>214120</v>
      </c>
      <c r="K736" s="15">
        <v>35686.67</v>
      </c>
    </row>
    <row r="737" spans="1:11">
      <c r="A737" s="9">
        <f t="shared" si="11"/>
        <v>732</v>
      </c>
      <c r="B737" s="9" t="s">
        <v>1465</v>
      </c>
      <c r="C737" s="9" t="s">
        <v>53</v>
      </c>
      <c r="D737" s="9" t="s">
        <v>1530</v>
      </c>
      <c r="E737" s="9" t="s">
        <v>1529</v>
      </c>
      <c r="F737" s="9" t="s">
        <v>1529</v>
      </c>
      <c r="G737" s="9" t="s">
        <v>1531</v>
      </c>
      <c r="H737" s="9" t="s">
        <v>222</v>
      </c>
      <c r="I737" s="9" t="s">
        <v>1532</v>
      </c>
      <c r="J737" s="15">
        <v>22000</v>
      </c>
      <c r="K737" s="15">
        <v>3666.67</v>
      </c>
    </row>
    <row r="738" spans="1:11">
      <c r="A738" s="9">
        <f t="shared" si="11"/>
        <v>733</v>
      </c>
      <c r="B738" s="9" t="s">
        <v>1465</v>
      </c>
      <c r="C738" s="9" t="s">
        <v>53</v>
      </c>
      <c r="D738" s="9" t="s">
        <v>1533</v>
      </c>
      <c r="E738" s="9" t="s">
        <v>1534</v>
      </c>
      <c r="F738" s="9" t="s">
        <v>1534</v>
      </c>
      <c r="G738" s="9" t="s">
        <v>983</v>
      </c>
      <c r="H738" s="9" t="s">
        <v>103</v>
      </c>
      <c r="I738" s="9" t="s">
        <v>984</v>
      </c>
      <c r="J738" s="15">
        <v>3420</v>
      </c>
      <c r="K738" s="15">
        <v>570</v>
      </c>
    </row>
    <row r="739" spans="1:11">
      <c r="A739" s="9">
        <f t="shared" si="11"/>
        <v>734</v>
      </c>
      <c r="B739" s="9" t="s">
        <v>1465</v>
      </c>
      <c r="C739" s="9" t="s">
        <v>53</v>
      </c>
      <c r="D739" s="9" t="s">
        <v>1535</v>
      </c>
      <c r="E739" s="9" t="s">
        <v>1534</v>
      </c>
      <c r="F739" s="9" t="s">
        <v>1534</v>
      </c>
      <c r="G739" s="9" t="s">
        <v>983</v>
      </c>
      <c r="H739" s="9" t="s">
        <v>103</v>
      </c>
      <c r="I739" s="9" t="s">
        <v>984</v>
      </c>
      <c r="J739" s="15">
        <v>1467</v>
      </c>
      <c r="K739" s="15">
        <v>244.5</v>
      </c>
    </row>
    <row r="740" spans="1:11">
      <c r="A740" s="9">
        <f t="shared" si="11"/>
        <v>735</v>
      </c>
      <c r="B740" s="9" t="s">
        <v>1465</v>
      </c>
      <c r="C740" s="9" t="s">
        <v>53</v>
      </c>
      <c r="D740" s="9" t="s">
        <v>1536</v>
      </c>
      <c r="E740" s="9" t="s">
        <v>1534</v>
      </c>
      <c r="F740" s="9" t="s">
        <v>1534</v>
      </c>
      <c r="G740" s="9" t="s">
        <v>983</v>
      </c>
      <c r="H740" s="9" t="s">
        <v>103</v>
      </c>
      <c r="I740" s="9" t="s">
        <v>984</v>
      </c>
      <c r="J740" s="15">
        <v>2</v>
      </c>
      <c r="K740" s="15">
        <v>0.34</v>
      </c>
    </row>
    <row r="741" spans="1:11">
      <c r="A741" s="9">
        <f t="shared" si="11"/>
        <v>736</v>
      </c>
      <c r="B741" s="9" t="s">
        <v>1465</v>
      </c>
      <c r="C741" s="9" t="s">
        <v>53</v>
      </c>
      <c r="D741" s="9" t="s">
        <v>1537</v>
      </c>
      <c r="E741" s="9" t="s">
        <v>1534</v>
      </c>
      <c r="F741" s="9" t="s">
        <v>1534</v>
      </c>
      <c r="G741" s="9" t="s">
        <v>983</v>
      </c>
      <c r="H741" s="9" t="s">
        <v>103</v>
      </c>
      <c r="I741" s="9" t="s">
        <v>984</v>
      </c>
      <c r="J741" s="15">
        <v>988</v>
      </c>
      <c r="K741" s="15">
        <v>164.66</v>
      </c>
    </row>
    <row r="742" spans="1:11">
      <c r="A742" s="9">
        <f t="shared" si="11"/>
        <v>737</v>
      </c>
      <c r="B742" s="9" t="s">
        <v>1465</v>
      </c>
      <c r="C742" s="9" t="s">
        <v>53</v>
      </c>
      <c r="D742" s="9" t="s">
        <v>1538</v>
      </c>
      <c r="E742" s="9" t="s">
        <v>1534</v>
      </c>
      <c r="F742" s="9" t="s">
        <v>1534</v>
      </c>
      <c r="G742" s="9" t="s">
        <v>983</v>
      </c>
      <c r="H742" s="9" t="s">
        <v>103</v>
      </c>
      <c r="I742" s="9" t="s">
        <v>984</v>
      </c>
      <c r="J742" s="15">
        <v>2266</v>
      </c>
      <c r="K742" s="15">
        <v>377.66</v>
      </c>
    </row>
    <row r="743" spans="1:11">
      <c r="A743" s="9">
        <f t="shared" si="11"/>
        <v>738</v>
      </c>
      <c r="B743" s="9" t="s">
        <v>1465</v>
      </c>
      <c r="C743" s="9" t="s">
        <v>71</v>
      </c>
      <c r="D743" s="9" t="s">
        <v>1132</v>
      </c>
      <c r="E743" s="9" t="s">
        <v>1539</v>
      </c>
      <c r="F743" s="9" t="s">
        <v>36</v>
      </c>
      <c r="G743" s="9" t="s">
        <v>74</v>
      </c>
      <c r="H743" s="9" t="s">
        <v>75</v>
      </c>
      <c r="I743" s="9" t="s">
        <v>38</v>
      </c>
      <c r="J743" s="15">
        <v>820000</v>
      </c>
      <c r="K743" s="15">
        <v>136666.67000000001</v>
      </c>
    </row>
    <row r="744" spans="1:11">
      <c r="A744" s="9">
        <f t="shared" si="11"/>
        <v>739</v>
      </c>
      <c r="B744" s="9" t="s">
        <v>1465</v>
      </c>
      <c r="C744" s="9" t="s">
        <v>53</v>
      </c>
      <c r="D744" s="9" t="s">
        <v>1540</v>
      </c>
      <c r="E744" s="9" t="s">
        <v>1541</v>
      </c>
      <c r="F744" s="9" t="s">
        <v>1542</v>
      </c>
      <c r="G744" s="9" t="s">
        <v>650</v>
      </c>
      <c r="H744" s="9" t="s">
        <v>651</v>
      </c>
      <c r="I744" s="9" t="s">
        <v>652</v>
      </c>
      <c r="J744" s="15">
        <v>1202400</v>
      </c>
      <c r="K744" s="15">
        <v>200400</v>
      </c>
    </row>
    <row r="745" spans="1:11">
      <c r="A745" s="9">
        <f t="shared" si="11"/>
        <v>740</v>
      </c>
      <c r="B745" s="9" t="s">
        <v>1465</v>
      </c>
      <c r="C745" s="9" t="s">
        <v>71</v>
      </c>
      <c r="D745" s="9" t="s">
        <v>1162</v>
      </c>
      <c r="E745" s="9" t="s">
        <v>1527</v>
      </c>
      <c r="F745" s="9" t="s">
        <v>36</v>
      </c>
      <c r="G745" s="9" t="s">
        <v>74</v>
      </c>
      <c r="H745" s="9" t="s">
        <v>75</v>
      </c>
      <c r="I745" s="9" t="s">
        <v>38</v>
      </c>
      <c r="J745" s="15">
        <v>566948</v>
      </c>
      <c r="K745" s="15">
        <v>94491.33</v>
      </c>
    </row>
    <row r="746" spans="1:11">
      <c r="A746" s="9">
        <f t="shared" si="11"/>
        <v>741</v>
      </c>
      <c r="B746" s="9" t="s">
        <v>1465</v>
      </c>
      <c r="C746" s="9" t="s">
        <v>53</v>
      </c>
      <c r="D746" s="9" t="s">
        <v>1543</v>
      </c>
      <c r="E746" s="9" t="s">
        <v>1544</v>
      </c>
      <c r="F746" s="9" t="s">
        <v>1544</v>
      </c>
      <c r="G746" s="9" t="s">
        <v>1545</v>
      </c>
      <c r="H746" s="9" t="s">
        <v>778</v>
      </c>
      <c r="I746" s="9" t="s">
        <v>1546</v>
      </c>
      <c r="J746" s="15">
        <v>10890</v>
      </c>
      <c r="K746" s="15">
        <v>1815</v>
      </c>
    </row>
    <row r="747" spans="1:11">
      <c r="A747" s="9">
        <f t="shared" si="11"/>
        <v>742</v>
      </c>
      <c r="B747" s="9" t="s">
        <v>1465</v>
      </c>
      <c r="C747" s="9" t="s">
        <v>53</v>
      </c>
      <c r="D747" s="9" t="s">
        <v>1547</v>
      </c>
      <c r="E747" s="9" t="s">
        <v>1544</v>
      </c>
      <c r="F747" s="9" t="s">
        <v>1544</v>
      </c>
      <c r="G747" s="9" t="s">
        <v>1096</v>
      </c>
      <c r="H747" s="9" t="s">
        <v>1097</v>
      </c>
      <c r="I747" s="9" t="s">
        <v>1098</v>
      </c>
      <c r="J747" s="15">
        <v>2000</v>
      </c>
      <c r="K747" s="15">
        <v>333.33</v>
      </c>
    </row>
    <row r="748" spans="1:11">
      <c r="A748" s="9">
        <f t="shared" si="11"/>
        <v>743</v>
      </c>
      <c r="B748" s="9" t="s">
        <v>1465</v>
      </c>
      <c r="C748" s="9" t="s">
        <v>53</v>
      </c>
      <c r="D748" s="9" t="s">
        <v>1548</v>
      </c>
      <c r="E748" s="9" t="s">
        <v>1549</v>
      </c>
      <c r="F748" s="9" t="s">
        <v>1549</v>
      </c>
      <c r="G748" s="9" t="s">
        <v>299</v>
      </c>
      <c r="H748" s="9" t="s">
        <v>300</v>
      </c>
      <c r="I748" s="9" t="s">
        <v>301</v>
      </c>
      <c r="J748" s="15">
        <v>213720</v>
      </c>
      <c r="K748" s="15">
        <v>35620</v>
      </c>
    </row>
    <row r="749" spans="1:11">
      <c r="A749" s="9">
        <f t="shared" si="11"/>
        <v>744</v>
      </c>
      <c r="B749" s="9" t="s">
        <v>1465</v>
      </c>
      <c r="C749" s="9" t="s">
        <v>53</v>
      </c>
      <c r="D749" s="9" t="s">
        <v>1550</v>
      </c>
      <c r="E749" s="9" t="s">
        <v>1551</v>
      </c>
      <c r="F749" s="9" t="s">
        <v>1551</v>
      </c>
      <c r="G749" s="9" t="s">
        <v>313</v>
      </c>
      <c r="H749" s="9" t="s">
        <v>314</v>
      </c>
      <c r="I749" s="9" t="s">
        <v>315</v>
      </c>
      <c r="J749" s="15">
        <v>36000</v>
      </c>
      <c r="K749" s="15">
        <v>6000</v>
      </c>
    </row>
    <row r="750" spans="1:11">
      <c r="A750" s="9">
        <f t="shared" si="11"/>
        <v>745</v>
      </c>
      <c r="B750" s="9" t="s">
        <v>1465</v>
      </c>
      <c r="C750" s="9" t="s">
        <v>53</v>
      </c>
      <c r="D750" s="9" t="s">
        <v>1552</v>
      </c>
      <c r="E750" s="9" t="s">
        <v>1551</v>
      </c>
      <c r="F750" s="9" t="s">
        <v>1551</v>
      </c>
      <c r="G750" s="9" t="s">
        <v>102</v>
      </c>
      <c r="H750" s="9" t="s">
        <v>103</v>
      </c>
      <c r="I750" s="9" t="s">
        <v>104</v>
      </c>
      <c r="J750" s="15">
        <v>6175</v>
      </c>
      <c r="K750" s="15">
        <v>1029.17</v>
      </c>
    </row>
    <row r="751" spans="1:11">
      <c r="A751" s="9">
        <f t="shared" si="11"/>
        <v>746</v>
      </c>
      <c r="B751" s="9" t="s">
        <v>1465</v>
      </c>
      <c r="C751" s="9" t="s">
        <v>53</v>
      </c>
      <c r="D751" s="9" t="s">
        <v>1553</v>
      </c>
      <c r="E751" s="9" t="s">
        <v>1551</v>
      </c>
      <c r="F751" s="9" t="s">
        <v>1551</v>
      </c>
      <c r="G751" s="9" t="s">
        <v>102</v>
      </c>
      <c r="H751" s="9" t="s">
        <v>103</v>
      </c>
      <c r="I751" s="9" t="s">
        <v>104</v>
      </c>
      <c r="J751" s="15">
        <v>1080</v>
      </c>
      <c r="K751" s="15">
        <v>180</v>
      </c>
    </row>
    <row r="752" spans="1:11">
      <c r="A752" s="9">
        <f t="shared" si="11"/>
        <v>747</v>
      </c>
      <c r="B752" s="9" t="s">
        <v>1465</v>
      </c>
      <c r="C752" s="9" t="s">
        <v>53</v>
      </c>
      <c r="D752" s="9" t="s">
        <v>1554</v>
      </c>
      <c r="E752" s="9" t="s">
        <v>1551</v>
      </c>
      <c r="F752" s="9" t="s">
        <v>1551</v>
      </c>
      <c r="G752" s="9" t="s">
        <v>102</v>
      </c>
      <c r="H752" s="9" t="s">
        <v>103</v>
      </c>
      <c r="I752" s="9" t="s">
        <v>104</v>
      </c>
      <c r="J752" s="15">
        <v>4300</v>
      </c>
      <c r="K752" s="15">
        <v>716.67</v>
      </c>
    </row>
    <row r="753" spans="1:11">
      <c r="A753" s="9">
        <f t="shared" si="11"/>
        <v>748</v>
      </c>
      <c r="B753" s="9" t="s">
        <v>1465</v>
      </c>
      <c r="C753" s="9" t="s">
        <v>53</v>
      </c>
      <c r="D753" s="9" t="s">
        <v>565</v>
      </c>
      <c r="E753" s="9" t="s">
        <v>1555</v>
      </c>
      <c r="F753" s="9" t="s">
        <v>1555</v>
      </c>
      <c r="G753" s="9" t="s">
        <v>1442</v>
      </c>
      <c r="H753" s="9" t="s">
        <v>314</v>
      </c>
      <c r="I753" s="9" t="s">
        <v>1443</v>
      </c>
      <c r="J753" s="15">
        <v>4600</v>
      </c>
      <c r="K753" s="15">
        <v>766.67</v>
      </c>
    </row>
    <row r="754" spans="1:11">
      <c r="A754" s="9">
        <f t="shared" si="11"/>
        <v>749</v>
      </c>
      <c r="B754" s="9" t="s">
        <v>1465</v>
      </c>
      <c r="C754" s="9" t="s">
        <v>53</v>
      </c>
      <c r="D754" s="9" t="s">
        <v>70</v>
      </c>
      <c r="E754" s="9" t="s">
        <v>1556</v>
      </c>
      <c r="F754" s="9" t="s">
        <v>1556</v>
      </c>
      <c r="G754" s="9" t="s">
        <v>1368</v>
      </c>
      <c r="H754" s="9" t="s">
        <v>327</v>
      </c>
      <c r="I754" s="9" t="s">
        <v>1369</v>
      </c>
      <c r="J754" s="15">
        <v>523996</v>
      </c>
      <c r="K754" s="15">
        <v>87332.66</v>
      </c>
    </row>
    <row r="755" spans="1:11">
      <c r="A755" s="9">
        <f t="shared" si="11"/>
        <v>750</v>
      </c>
      <c r="B755" s="9" t="s">
        <v>1465</v>
      </c>
      <c r="C755" s="9" t="s">
        <v>53</v>
      </c>
      <c r="D755" s="9" t="s">
        <v>1557</v>
      </c>
      <c r="E755" s="9" t="s">
        <v>1558</v>
      </c>
      <c r="F755" s="9" t="s">
        <v>1558</v>
      </c>
      <c r="G755" s="9" t="s">
        <v>888</v>
      </c>
      <c r="H755" s="9" t="s">
        <v>500</v>
      </c>
      <c r="I755" s="9" t="s">
        <v>889</v>
      </c>
      <c r="J755" s="15">
        <v>528100</v>
      </c>
      <c r="K755" s="15">
        <v>88016.67</v>
      </c>
    </row>
    <row r="756" spans="1:11">
      <c r="A756" s="9">
        <f t="shared" si="11"/>
        <v>751</v>
      </c>
      <c r="B756" s="9" t="s">
        <v>1465</v>
      </c>
      <c r="C756" s="9" t="s">
        <v>53</v>
      </c>
      <c r="D756" s="9" t="s">
        <v>1559</v>
      </c>
      <c r="E756" s="9" t="s">
        <v>1560</v>
      </c>
      <c r="F756" s="9" t="s">
        <v>1560</v>
      </c>
      <c r="G756" s="9" t="s">
        <v>158</v>
      </c>
      <c r="H756" s="9" t="s">
        <v>159</v>
      </c>
      <c r="I756" s="9" t="s">
        <v>160</v>
      </c>
      <c r="J756" s="15">
        <v>36000</v>
      </c>
      <c r="K756" s="15">
        <v>6000</v>
      </c>
    </row>
    <row r="757" spans="1:11">
      <c r="A757" s="9">
        <f t="shared" si="11"/>
        <v>752</v>
      </c>
      <c r="B757" s="9" t="s">
        <v>1465</v>
      </c>
      <c r="C757" s="9" t="s">
        <v>71</v>
      </c>
      <c r="D757" s="9" t="s">
        <v>1561</v>
      </c>
      <c r="E757" s="9" t="s">
        <v>1544</v>
      </c>
      <c r="F757" s="9" t="s">
        <v>36</v>
      </c>
      <c r="G757" s="9" t="s">
        <v>74</v>
      </c>
      <c r="H757" s="9" t="s">
        <v>75</v>
      </c>
      <c r="I757" s="9" t="s">
        <v>38</v>
      </c>
      <c r="J757" s="15">
        <v>286224</v>
      </c>
      <c r="K757" s="15">
        <v>47704</v>
      </c>
    </row>
    <row r="758" spans="1:11">
      <c r="A758" s="9">
        <f t="shared" si="11"/>
        <v>753</v>
      </c>
      <c r="B758" s="9" t="s">
        <v>1465</v>
      </c>
      <c r="C758" s="9" t="s">
        <v>53</v>
      </c>
      <c r="D758" s="9" t="s">
        <v>1562</v>
      </c>
      <c r="E758" s="9" t="s">
        <v>1563</v>
      </c>
      <c r="F758" s="9" t="s">
        <v>1563</v>
      </c>
      <c r="G758" s="9" t="s">
        <v>1515</v>
      </c>
      <c r="H758" s="9" t="s">
        <v>472</v>
      </c>
      <c r="I758" s="9" t="s">
        <v>1516</v>
      </c>
      <c r="J758" s="15">
        <v>759000</v>
      </c>
      <c r="K758" s="15">
        <v>126500</v>
      </c>
    </row>
    <row r="759" spans="1:11">
      <c r="A759" s="9">
        <f t="shared" si="11"/>
        <v>754</v>
      </c>
      <c r="B759" s="9" t="s">
        <v>1465</v>
      </c>
      <c r="C759" s="9" t="s">
        <v>53</v>
      </c>
      <c r="D759" s="9" t="s">
        <v>1564</v>
      </c>
      <c r="E759" s="9" t="s">
        <v>1565</v>
      </c>
      <c r="F759" s="9" t="s">
        <v>1565</v>
      </c>
      <c r="G759" s="9" t="s">
        <v>1447</v>
      </c>
      <c r="H759" s="9" t="s">
        <v>833</v>
      </c>
      <c r="I759" s="9" t="s">
        <v>1448</v>
      </c>
      <c r="J759" s="15">
        <v>24800</v>
      </c>
      <c r="K759" s="15">
        <v>4133.33</v>
      </c>
    </row>
    <row r="760" spans="1:11">
      <c r="A760" s="9">
        <f t="shared" si="11"/>
        <v>755</v>
      </c>
      <c r="B760" s="9" t="s">
        <v>1465</v>
      </c>
      <c r="C760" s="9" t="s">
        <v>71</v>
      </c>
      <c r="D760" s="9" t="s">
        <v>1566</v>
      </c>
      <c r="E760" s="9" t="s">
        <v>1556</v>
      </c>
      <c r="F760" s="9" t="s">
        <v>36</v>
      </c>
      <c r="G760" s="9" t="s">
        <v>74</v>
      </c>
      <c r="H760" s="9" t="s">
        <v>75</v>
      </c>
      <c r="I760" s="9" t="s">
        <v>38</v>
      </c>
      <c r="J760" s="15">
        <v>520000</v>
      </c>
      <c r="K760" s="15">
        <v>86666.67</v>
      </c>
    </row>
    <row r="761" spans="1:11">
      <c r="A761" s="9">
        <f t="shared" si="11"/>
        <v>756</v>
      </c>
      <c r="B761" s="9" t="s">
        <v>1465</v>
      </c>
      <c r="C761" s="9" t="s">
        <v>53</v>
      </c>
      <c r="D761" s="9" t="s">
        <v>1567</v>
      </c>
      <c r="E761" s="9" t="s">
        <v>1568</v>
      </c>
      <c r="F761" s="9" t="s">
        <v>1568</v>
      </c>
      <c r="G761" s="9" t="s">
        <v>1442</v>
      </c>
      <c r="H761" s="9" t="s">
        <v>314</v>
      </c>
      <c r="I761" s="9" t="s">
        <v>1443</v>
      </c>
      <c r="J761" s="15">
        <v>5600</v>
      </c>
      <c r="K761" s="15">
        <v>933.33</v>
      </c>
    </row>
    <row r="762" spans="1:11">
      <c r="A762" s="9">
        <f t="shared" si="11"/>
        <v>757</v>
      </c>
      <c r="B762" s="9" t="s">
        <v>1465</v>
      </c>
      <c r="C762" s="9" t="s">
        <v>53</v>
      </c>
      <c r="D762" s="9" t="s">
        <v>1569</v>
      </c>
      <c r="E762" s="9" t="s">
        <v>1570</v>
      </c>
      <c r="F762" s="9" t="s">
        <v>1571</v>
      </c>
      <c r="G762" s="9" t="s">
        <v>650</v>
      </c>
      <c r="H762" s="9" t="s">
        <v>651</v>
      </c>
      <c r="I762" s="9" t="s">
        <v>652</v>
      </c>
      <c r="J762" s="15">
        <v>1000000</v>
      </c>
      <c r="K762" s="15">
        <v>166666.67000000001</v>
      </c>
    </row>
    <row r="763" spans="1:11">
      <c r="A763" s="9">
        <f t="shared" si="11"/>
        <v>758</v>
      </c>
      <c r="B763" s="9" t="s">
        <v>1465</v>
      </c>
      <c r="C763" s="9" t="s">
        <v>53</v>
      </c>
      <c r="D763" s="9" t="s">
        <v>1572</v>
      </c>
      <c r="E763" s="9" t="s">
        <v>1571</v>
      </c>
      <c r="F763" s="9" t="s">
        <v>1571</v>
      </c>
      <c r="G763" s="9" t="s">
        <v>162</v>
      </c>
      <c r="H763" s="9" t="s">
        <v>163</v>
      </c>
      <c r="I763" s="9" t="s">
        <v>164</v>
      </c>
      <c r="J763" s="15">
        <v>23600</v>
      </c>
      <c r="K763" s="15">
        <v>3933.33</v>
      </c>
    </row>
    <row r="764" spans="1:11">
      <c r="A764" s="9">
        <f t="shared" si="11"/>
        <v>759</v>
      </c>
      <c r="B764" s="9" t="s">
        <v>1465</v>
      </c>
      <c r="C764" s="9" t="s">
        <v>53</v>
      </c>
      <c r="D764" s="9" t="s">
        <v>1573</v>
      </c>
      <c r="E764" s="9" t="s">
        <v>1574</v>
      </c>
      <c r="F764" s="9" t="s">
        <v>1574</v>
      </c>
      <c r="G764" s="9" t="s">
        <v>102</v>
      </c>
      <c r="H764" s="9" t="s">
        <v>103</v>
      </c>
      <c r="I764" s="9" t="s">
        <v>104</v>
      </c>
      <c r="J764" s="15">
        <v>380</v>
      </c>
      <c r="K764" s="15">
        <v>63.33</v>
      </c>
    </row>
    <row r="765" spans="1:11">
      <c r="A765" s="9">
        <f t="shared" si="11"/>
        <v>760</v>
      </c>
      <c r="B765" s="9" t="s">
        <v>1465</v>
      </c>
      <c r="C765" s="9" t="s">
        <v>53</v>
      </c>
      <c r="D765" s="9" t="s">
        <v>1575</v>
      </c>
      <c r="E765" s="9" t="s">
        <v>1574</v>
      </c>
      <c r="F765" s="9" t="s">
        <v>1574</v>
      </c>
      <c r="G765" s="9" t="s">
        <v>102</v>
      </c>
      <c r="H765" s="9" t="s">
        <v>103</v>
      </c>
      <c r="I765" s="9" t="s">
        <v>104</v>
      </c>
      <c r="J765" s="15">
        <v>3420</v>
      </c>
      <c r="K765" s="15">
        <v>570</v>
      </c>
    </row>
    <row r="766" spans="1:11">
      <c r="A766" s="9">
        <f t="shared" si="11"/>
        <v>761</v>
      </c>
      <c r="B766" s="9" t="s">
        <v>1465</v>
      </c>
      <c r="C766" s="9" t="s">
        <v>71</v>
      </c>
      <c r="D766" s="9" t="s">
        <v>1576</v>
      </c>
      <c r="E766" s="9" t="s">
        <v>1534</v>
      </c>
      <c r="F766" s="9" t="s">
        <v>36</v>
      </c>
      <c r="G766" s="9" t="s">
        <v>74</v>
      </c>
      <c r="H766" s="9" t="s">
        <v>75</v>
      </c>
      <c r="I766" s="9" t="s">
        <v>38</v>
      </c>
      <c r="J766" s="15">
        <v>820000</v>
      </c>
      <c r="K766" s="15">
        <v>136666.67000000001</v>
      </c>
    </row>
    <row r="767" spans="1:11">
      <c r="A767" s="9">
        <f t="shared" si="11"/>
        <v>762</v>
      </c>
      <c r="B767" s="9" t="s">
        <v>1465</v>
      </c>
      <c r="C767" s="9" t="s">
        <v>71</v>
      </c>
      <c r="D767" s="9" t="s">
        <v>1577</v>
      </c>
      <c r="E767" s="9" t="s">
        <v>1563</v>
      </c>
      <c r="F767" s="9" t="s">
        <v>36</v>
      </c>
      <c r="G767" s="9" t="s">
        <v>74</v>
      </c>
      <c r="H767" s="9" t="s">
        <v>75</v>
      </c>
      <c r="I767" s="9" t="s">
        <v>38</v>
      </c>
      <c r="J767" s="15">
        <v>797040</v>
      </c>
      <c r="K767" s="15">
        <v>132840</v>
      </c>
    </row>
    <row r="768" spans="1:11">
      <c r="A768" s="9">
        <f t="shared" si="11"/>
        <v>763</v>
      </c>
      <c r="B768" s="9" t="s">
        <v>1465</v>
      </c>
      <c r="C768" s="9" t="s">
        <v>255</v>
      </c>
      <c r="D768" s="9" t="s">
        <v>1578</v>
      </c>
      <c r="E768" s="9" t="s">
        <v>1579</v>
      </c>
      <c r="F768" s="9" t="s">
        <v>36</v>
      </c>
      <c r="G768" s="9" t="s">
        <v>1290</v>
      </c>
      <c r="H768" s="9" t="s">
        <v>1291</v>
      </c>
      <c r="I768" s="9" t="s">
        <v>1292</v>
      </c>
      <c r="J768" s="15">
        <v>200</v>
      </c>
      <c r="K768" s="15">
        <v>33.33</v>
      </c>
    </row>
    <row r="769" spans="1:11">
      <c r="A769" s="9">
        <f t="shared" si="11"/>
        <v>764</v>
      </c>
      <c r="B769" s="9" t="s">
        <v>1465</v>
      </c>
      <c r="C769" s="9" t="s">
        <v>255</v>
      </c>
      <c r="D769" s="9" t="s">
        <v>1580</v>
      </c>
      <c r="E769" s="9" t="s">
        <v>1579</v>
      </c>
      <c r="F769" s="9" t="s">
        <v>36</v>
      </c>
      <c r="G769" s="9" t="s">
        <v>1290</v>
      </c>
      <c r="H769" s="9" t="s">
        <v>1291</v>
      </c>
      <c r="I769" s="9" t="s">
        <v>1292</v>
      </c>
      <c r="J769" s="15">
        <v>73722</v>
      </c>
      <c r="K769" s="15">
        <v>12287</v>
      </c>
    </row>
    <row r="770" spans="1:11">
      <c r="A770" s="9">
        <f t="shared" si="11"/>
        <v>765</v>
      </c>
      <c r="B770" s="9" t="s">
        <v>1465</v>
      </c>
      <c r="C770" s="9" t="s">
        <v>53</v>
      </c>
      <c r="D770" s="9" t="s">
        <v>1581</v>
      </c>
      <c r="E770" s="9" t="s">
        <v>1579</v>
      </c>
      <c r="F770" s="9" t="s">
        <v>1579</v>
      </c>
      <c r="G770" s="9" t="s">
        <v>318</v>
      </c>
      <c r="H770" s="9" t="s">
        <v>864</v>
      </c>
      <c r="I770" s="9" t="s">
        <v>320</v>
      </c>
      <c r="J770" s="15">
        <v>2785</v>
      </c>
      <c r="K770" s="15">
        <v>385.5</v>
      </c>
    </row>
    <row r="771" spans="1:11">
      <c r="A771" s="9">
        <f t="shared" si="11"/>
        <v>766</v>
      </c>
      <c r="B771" s="9" t="s">
        <v>1465</v>
      </c>
      <c r="C771" s="9" t="s">
        <v>53</v>
      </c>
      <c r="D771" s="9" t="s">
        <v>1582</v>
      </c>
      <c r="E771" s="9" t="s">
        <v>1579</v>
      </c>
      <c r="F771" s="9" t="s">
        <v>1579</v>
      </c>
      <c r="G771" s="9" t="s">
        <v>1185</v>
      </c>
      <c r="H771" s="9" t="s">
        <v>75</v>
      </c>
      <c r="I771" s="9" t="s">
        <v>1186</v>
      </c>
      <c r="J771" s="15">
        <v>37045</v>
      </c>
      <c r="K771" s="15">
        <v>6174.17</v>
      </c>
    </row>
    <row r="772" spans="1:11">
      <c r="A772" s="9">
        <f t="shared" si="11"/>
        <v>767</v>
      </c>
      <c r="B772" s="9" t="s">
        <v>1465</v>
      </c>
      <c r="C772" s="9" t="s">
        <v>53</v>
      </c>
      <c r="D772" s="9" t="s">
        <v>54</v>
      </c>
      <c r="E772" s="9" t="s">
        <v>1579</v>
      </c>
      <c r="F772" s="9" t="s">
        <v>1579</v>
      </c>
      <c r="G772" s="9" t="s">
        <v>888</v>
      </c>
      <c r="H772" s="9" t="s">
        <v>500</v>
      </c>
      <c r="I772" s="9" t="s">
        <v>889</v>
      </c>
      <c r="J772" s="15">
        <v>544010</v>
      </c>
      <c r="K772" s="15">
        <v>90668.33</v>
      </c>
    </row>
    <row r="773" spans="1:11">
      <c r="A773" s="9">
        <f t="shared" si="11"/>
        <v>768</v>
      </c>
      <c r="B773" s="9" t="s">
        <v>1465</v>
      </c>
      <c r="C773" s="9" t="s">
        <v>53</v>
      </c>
      <c r="D773" s="9" t="s">
        <v>1583</v>
      </c>
      <c r="E773" s="9" t="s">
        <v>1584</v>
      </c>
      <c r="F773" s="9" t="s">
        <v>1585</v>
      </c>
      <c r="G773" s="9" t="s">
        <v>650</v>
      </c>
      <c r="H773" s="9" t="s">
        <v>651</v>
      </c>
      <c r="I773" s="9" t="s">
        <v>652</v>
      </c>
      <c r="J773" s="15">
        <v>1913400</v>
      </c>
      <c r="K773" s="15">
        <v>318900</v>
      </c>
    </row>
    <row r="774" spans="1:11">
      <c r="A774" s="9">
        <f t="shared" si="11"/>
        <v>769</v>
      </c>
      <c r="B774" s="9" t="s">
        <v>1465</v>
      </c>
      <c r="C774" s="9" t="s">
        <v>53</v>
      </c>
      <c r="D774" s="9" t="s">
        <v>1586</v>
      </c>
      <c r="E774" s="9" t="s">
        <v>1585</v>
      </c>
      <c r="F774" s="9" t="s">
        <v>1585</v>
      </c>
      <c r="G774" s="9" t="s">
        <v>318</v>
      </c>
      <c r="H774" s="9" t="s">
        <v>864</v>
      </c>
      <c r="I774" s="9" t="s">
        <v>320</v>
      </c>
      <c r="J774" s="15">
        <v>1014</v>
      </c>
      <c r="K774" s="15">
        <v>147.66999999999999</v>
      </c>
    </row>
    <row r="775" spans="1:11">
      <c r="A775" s="9">
        <f t="shared" ref="A775:A838" si="12">A774+1</f>
        <v>770</v>
      </c>
      <c r="B775" s="9" t="s">
        <v>1465</v>
      </c>
      <c r="C775" s="9" t="s">
        <v>53</v>
      </c>
      <c r="D775" s="9" t="s">
        <v>1587</v>
      </c>
      <c r="E775" s="9" t="s">
        <v>1585</v>
      </c>
      <c r="F775" s="9" t="s">
        <v>1585</v>
      </c>
      <c r="G775" s="9" t="s">
        <v>102</v>
      </c>
      <c r="H775" s="9" t="s">
        <v>103</v>
      </c>
      <c r="I775" s="9" t="s">
        <v>104</v>
      </c>
      <c r="J775" s="15">
        <v>1250</v>
      </c>
      <c r="K775" s="15">
        <v>208.33</v>
      </c>
    </row>
    <row r="776" spans="1:11">
      <c r="A776" s="9">
        <f t="shared" si="12"/>
        <v>771</v>
      </c>
      <c r="B776" s="9" t="s">
        <v>1465</v>
      </c>
      <c r="C776" s="9" t="s">
        <v>53</v>
      </c>
      <c r="D776" s="9" t="s">
        <v>1588</v>
      </c>
      <c r="E776" s="9" t="s">
        <v>1542</v>
      </c>
      <c r="F776" s="9" t="s">
        <v>1589</v>
      </c>
      <c r="G776" s="9" t="s">
        <v>1590</v>
      </c>
      <c r="H776" s="9" t="s">
        <v>1591</v>
      </c>
      <c r="I776" s="9" t="s">
        <v>1592</v>
      </c>
      <c r="J776" s="15">
        <v>204078</v>
      </c>
      <c r="K776" s="15">
        <v>34013</v>
      </c>
    </row>
    <row r="777" spans="1:11">
      <c r="A777" s="9">
        <f t="shared" si="12"/>
        <v>772</v>
      </c>
      <c r="B777" s="9" t="s">
        <v>1465</v>
      </c>
      <c r="C777" s="9" t="s">
        <v>53</v>
      </c>
      <c r="D777" s="9" t="s">
        <v>1593</v>
      </c>
      <c r="E777" s="9" t="s">
        <v>1589</v>
      </c>
      <c r="F777" s="9" t="s">
        <v>1589</v>
      </c>
      <c r="G777" s="9" t="s">
        <v>1185</v>
      </c>
      <c r="H777" s="9" t="s">
        <v>75</v>
      </c>
      <c r="I777" s="9" t="s">
        <v>1186</v>
      </c>
      <c r="J777" s="15">
        <v>167126.69</v>
      </c>
      <c r="K777" s="15">
        <v>27854.45</v>
      </c>
    </row>
    <row r="778" spans="1:11">
      <c r="A778" s="9">
        <f t="shared" si="12"/>
        <v>773</v>
      </c>
      <c r="B778" s="9" t="s">
        <v>1465</v>
      </c>
      <c r="C778" s="9" t="s">
        <v>53</v>
      </c>
      <c r="D778" s="9" t="s">
        <v>1594</v>
      </c>
      <c r="E778" s="9" t="s">
        <v>1589</v>
      </c>
      <c r="F778" s="9" t="s">
        <v>1589</v>
      </c>
      <c r="G778" s="9" t="s">
        <v>1185</v>
      </c>
      <c r="H778" s="9" t="s">
        <v>75</v>
      </c>
      <c r="I778" s="9" t="s">
        <v>1186</v>
      </c>
      <c r="J778" s="15">
        <v>3000</v>
      </c>
      <c r="K778" s="15">
        <v>500</v>
      </c>
    </row>
    <row r="779" spans="1:11">
      <c r="A779" s="9">
        <f t="shared" si="12"/>
        <v>774</v>
      </c>
      <c r="B779" s="9" t="s">
        <v>1465</v>
      </c>
      <c r="C779" s="9" t="s">
        <v>53</v>
      </c>
      <c r="D779" s="9" t="s">
        <v>1595</v>
      </c>
      <c r="E779" s="9" t="s">
        <v>1589</v>
      </c>
      <c r="F779" s="9" t="s">
        <v>1589</v>
      </c>
      <c r="G779" s="9" t="s">
        <v>1185</v>
      </c>
      <c r="H779" s="9" t="s">
        <v>75</v>
      </c>
      <c r="I779" s="9" t="s">
        <v>1186</v>
      </c>
      <c r="J779" s="15">
        <v>30000</v>
      </c>
      <c r="K779" s="15">
        <v>5000</v>
      </c>
    </row>
    <row r="780" spans="1:11">
      <c r="A780" s="9">
        <f t="shared" si="12"/>
        <v>775</v>
      </c>
      <c r="B780" s="9" t="s">
        <v>1465</v>
      </c>
      <c r="C780" s="9" t="s">
        <v>53</v>
      </c>
      <c r="D780" s="9" t="s">
        <v>1596</v>
      </c>
      <c r="E780" s="9" t="s">
        <v>1584</v>
      </c>
      <c r="F780" s="9" t="s">
        <v>1584</v>
      </c>
      <c r="G780" s="9" t="s">
        <v>299</v>
      </c>
      <c r="H780" s="9" t="s">
        <v>300</v>
      </c>
      <c r="I780" s="9" t="s">
        <v>301</v>
      </c>
      <c r="J780" s="15">
        <v>236544</v>
      </c>
      <c r="K780" s="15">
        <v>39424</v>
      </c>
    </row>
    <row r="781" spans="1:11">
      <c r="A781" s="9">
        <f t="shared" si="12"/>
        <v>776</v>
      </c>
      <c r="B781" s="9" t="s">
        <v>1465</v>
      </c>
      <c r="C781" s="9" t="s">
        <v>53</v>
      </c>
      <c r="D781" s="9" t="s">
        <v>1597</v>
      </c>
      <c r="E781" s="9" t="s">
        <v>1598</v>
      </c>
      <c r="F781" s="9" t="s">
        <v>1598</v>
      </c>
      <c r="G781" s="9" t="s">
        <v>1442</v>
      </c>
      <c r="H781" s="9" t="s">
        <v>314</v>
      </c>
      <c r="I781" s="9" t="s">
        <v>1443</v>
      </c>
      <c r="J781" s="15">
        <v>15850</v>
      </c>
      <c r="K781" s="15">
        <v>2641.66</v>
      </c>
    </row>
    <row r="782" spans="1:11">
      <c r="A782" s="9">
        <f t="shared" si="12"/>
        <v>777</v>
      </c>
      <c r="B782" s="9" t="s">
        <v>1465</v>
      </c>
      <c r="C782" s="9" t="s">
        <v>53</v>
      </c>
      <c r="D782" s="9" t="s">
        <v>1599</v>
      </c>
      <c r="E782" s="9" t="s">
        <v>1598</v>
      </c>
      <c r="F782" s="9" t="s">
        <v>1598</v>
      </c>
      <c r="G782" s="9" t="s">
        <v>888</v>
      </c>
      <c r="H782" s="9" t="s">
        <v>500</v>
      </c>
      <c r="I782" s="9" t="s">
        <v>889</v>
      </c>
      <c r="J782" s="15">
        <v>464668</v>
      </c>
      <c r="K782" s="15">
        <v>77444.67</v>
      </c>
    </row>
    <row r="783" spans="1:11">
      <c r="A783" s="9">
        <f t="shared" si="12"/>
        <v>778</v>
      </c>
      <c r="B783" s="9" t="s">
        <v>1465</v>
      </c>
      <c r="C783" s="9" t="s">
        <v>53</v>
      </c>
      <c r="D783" s="9" t="s">
        <v>1600</v>
      </c>
      <c r="E783" s="9" t="s">
        <v>1598</v>
      </c>
      <c r="F783" s="9" t="s">
        <v>1598</v>
      </c>
      <c r="G783" s="9" t="s">
        <v>1601</v>
      </c>
      <c r="H783" s="9" t="s">
        <v>1602</v>
      </c>
      <c r="I783" s="9" t="s">
        <v>1603</v>
      </c>
      <c r="J783" s="15">
        <v>92400</v>
      </c>
      <c r="K783" s="15">
        <v>15400</v>
      </c>
    </row>
    <row r="784" spans="1:11">
      <c r="A784" s="9">
        <f t="shared" si="12"/>
        <v>779</v>
      </c>
      <c r="B784" s="9" t="s">
        <v>1465</v>
      </c>
      <c r="C784" s="9" t="s">
        <v>53</v>
      </c>
      <c r="D784" s="9" t="s">
        <v>1027</v>
      </c>
      <c r="E784" s="9" t="s">
        <v>1604</v>
      </c>
      <c r="F784" s="9" t="s">
        <v>1604</v>
      </c>
      <c r="G784" s="9" t="s">
        <v>1368</v>
      </c>
      <c r="H784" s="9" t="s">
        <v>327</v>
      </c>
      <c r="I784" s="9" t="s">
        <v>1369</v>
      </c>
      <c r="J784" s="15">
        <v>129504</v>
      </c>
      <c r="K784" s="15">
        <v>21584</v>
      </c>
    </row>
    <row r="785" spans="1:11">
      <c r="A785" s="9">
        <f t="shared" si="12"/>
        <v>780</v>
      </c>
      <c r="B785" s="9" t="s">
        <v>1465</v>
      </c>
      <c r="C785" s="9" t="s">
        <v>53</v>
      </c>
      <c r="D785" s="9" t="s">
        <v>1605</v>
      </c>
      <c r="E785" s="9" t="s">
        <v>1604</v>
      </c>
      <c r="F785" s="9" t="s">
        <v>1604</v>
      </c>
      <c r="G785" s="9" t="s">
        <v>313</v>
      </c>
      <c r="H785" s="9" t="s">
        <v>314</v>
      </c>
      <c r="I785" s="9" t="s">
        <v>315</v>
      </c>
      <c r="J785" s="15">
        <v>36000</v>
      </c>
      <c r="K785" s="15">
        <v>6000</v>
      </c>
    </row>
    <row r="786" spans="1:11">
      <c r="A786" s="9">
        <f t="shared" si="12"/>
        <v>781</v>
      </c>
      <c r="B786" s="9" t="s">
        <v>1465</v>
      </c>
      <c r="C786" s="9" t="s">
        <v>71</v>
      </c>
      <c r="D786" s="9" t="s">
        <v>1606</v>
      </c>
      <c r="E786" s="9" t="s">
        <v>1571</v>
      </c>
      <c r="F786" s="9" t="s">
        <v>36</v>
      </c>
      <c r="G786" s="9" t="s">
        <v>74</v>
      </c>
      <c r="H786" s="9" t="s">
        <v>75</v>
      </c>
      <c r="I786" s="9" t="s">
        <v>38</v>
      </c>
      <c r="J786" s="15">
        <v>200000</v>
      </c>
      <c r="K786" s="15">
        <v>33333.33</v>
      </c>
    </row>
    <row r="787" spans="1:11">
      <c r="A787" s="9">
        <f t="shared" si="12"/>
        <v>782</v>
      </c>
      <c r="B787" s="9" t="s">
        <v>1465</v>
      </c>
      <c r="C787" s="9" t="s">
        <v>71</v>
      </c>
      <c r="D787" s="9" t="s">
        <v>1607</v>
      </c>
      <c r="E787" s="9" t="s">
        <v>1604</v>
      </c>
      <c r="F787" s="9" t="s">
        <v>36</v>
      </c>
      <c r="G787" s="9" t="s">
        <v>74</v>
      </c>
      <c r="H787" s="9" t="s">
        <v>75</v>
      </c>
      <c r="I787" s="9" t="s">
        <v>38</v>
      </c>
      <c r="J787" s="15">
        <v>300000</v>
      </c>
      <c r="K787" s="15">
        <v>50000</v>
      </c>
    </row>
    <row r="788" spans="1:11">
      <c r="A788" s="9">
        <f t="shared" si="12"/>
        <v>783</v>
      </c>
      <c r="B788" s="9" t="s">
        <v>1465</v>
      </c>
      <c r="C788" s="9" t="s">
        <v>53</v>
      </c>
      <c r="D788" s="9" t="s">
        <v>1608</v>
      </c>
      <c r="E788" s="9" t="s">
        <v>1609</v>
      </c>
      <c r="F788" s="9" t="s">
        <v>1609</v>
      </c>
      <c r="G788" s="9" t="s">
        <v>983</v>
      </c>
      <c r="H788" s="9" t="s">
        <v>103</v>
      </c>
      <c r="I788" s="9" t="s">
        <v>984</v>
      </c>
      <c r="J788" s="15">
        <v>1486</v>
      </c>
      <c r="K788" s="15">
        <v>247.67</v>
      </c>
    </row>
    <row r="789" spans="1:11">
      <c r="A789" s="9">
        <f t="shared" si="12"/>
        <v>784</v>
      </c>
      <c r="B789" s="9" t="s">
        <v>1465</v>
      </c>
      <c r="C789" s="9" t="s">
        <v>53</v>
      </c>
      <c r="D789" s="9" t="s">
        <v>1610</v>
      </c>
      <c r="E789" s="9" t="s">
        <v>1609</v>
      </c>
      <c r="F789" s="9" t="s">
        <v>1609</v>
      </c>
      <c r="G789" s="9" t="s">
        <v>983</v>
      </c>
      <c r="H789" s="9" t="s">
        <v>103</v>
      </c>
      <c r="I789" s="9" t="s">
        <v>984</v>
      </c>
      <c r="J789" s="15">
        <v>3600</v>
      </c>
      <c r="K789" s="15">
        <v>600</v>
      </c>
    </row>
    <row r="790" spans="1:11">
      <c r="A790" s="9">
        <f t="shared" si="12"/>
        <v>785</v>
      </c>
      <c r="B790" s="9" t="s">
        <v>1465</v>
      </c>
      <c r="C790" s="9" t="s">
        <v>53</v>
      </c>
      <c r="D790" s="9" t="s">
        <v>1611</v>
      </c>
      <c r="E790" s="9" t="s">
        <v>1609</v>
      </c>
      <c r="F790" s="9" t="s">
        <v>1609</v>
      </c>
      <c r="G790" s="9" t="s">
        <v>983</v>
      </c>
      <c r="H790" s="9" t="s">
        <v>103</v>
      </c>
      <c r="I790" s="9" t="s">
        <v>984</v>
      </c>
      <c r="J790" s="15">
        <v>2678</v>
      </c>
      <c r="K790" s="15">
        <v>446.33</v>
      </c>
    </row>
    <row r="791" spans="1:11">
      <c r="A791" s="9">
        <f t="shared" si="12"/>
        <v>786</v>
      </c>
      <c r="B791" s="9" t="s">
        <v>1465</v>
      </c>
      <c r="C791" s="9" t="s">
        <v>53</v>
      </c>
      <c r="D791" s="9" t="s">
        <v>1207</v>
      </c>
      <c r="E791" s="9" t="s">
        <v>1609</v>
      </c>
      <c r="F791" s="9" t="s">
        <v>1609</v>
      </c>
      <c r="G791" s="9" t="s">
        <v>888</v>
      </c>
      <c r="H791" s="9" t="s">
        <v>500</v>
      </c>
      <c r="I791" s="9" t="s">
        <v>889</v>
      </c>
      <c r="J791" s="15">
        <v>388640</v>
      </c>
      <c r="K791" s="15">
        <v>64773.33</v>
      </c>
    </row>
    <row r="792" spans="1:11">
      <c r="A792" s="9">
        <f t="shared" si="12"/>
        <v>787</v>
      </c>
      <c r="B792" s="9" t="s">
        <v>1465</v>
      </c>
      <c r="C792" s="9" t="s">
        <v>53</v>
      </c>
      <c r="D792" s="9" t="s">
        <v>1612</v>
      </c>
      <c r="E792" s="9" t="s">
        <v>1613</v>
      </c>
      <c r="F792" s="9" t="s">
        <v>1613</v>
      </c>
      <c r="G792" s="9" t="s">
        <v>318</v>
      </c>
      <c r="H792" s="9" t="s">
        <v>864</v>
      </c>
      <c r="I792" s="9" t="s">
        <v>320</v>
      </c>
      <c r="J792" s="15">
        <v>5925</v>
      </c>
      <c r="K792" s="15">
        <v>896.34</v>
      </c>
    </row>
    <row r="793" spans="1:11">
      <c r="A793" s="9">
        <f t="shared" si="12"/>
        <v>788</v>
      </c>
      <c r="B793" s="9" t="s">
        <v>1465</v>
      </c>
      <c r="C793" s="9" t="s">
        <v>53</v>
      </c>
      <c r="D793" s="9" t="s">
        <v>1614</v>
      </c>
      <c r="E793" s="9" t="s">
        <v>1613</v>
      </c>
      <c r="F793" s="9" t="s">
        <v>1613</v>
      </c>
      <c r="G793" s="9" t="s">
        <v>318</v>
      </c>
      <c r="H793" s="9" t="s">
        <v>864</v>
      </c>
      <c r="I793" s="9" t="s">
        <v>320</v>
      </c>
      <c r="J793" s="15">
        <v>279</v>
      </c>
      <c r="K793" s="15">
        <v>41.5</v>
      </c>
    </row>
    <row r="794" spans="1:11">
      <c r="A794" s="9">
        <f t="shared" si="12"/>
        <v>789</v>
      </c>
      <c r="B794" s="9" t="s">
        <v>1465</v>
      </c>
      <c r="C794" s="9" t="s">
        <v>53</v>
      </c>
      <c r="D794" s="9" t="s">
        <v>1615</v>
      </c>
      <c r="E794" s="9" t="s">
        <v>1616</v>
      </c>
      <c r="F794" s="9" t="s">
        <v>1616</v>
      </c>
      <c r="G794" s="9" t="s">
        <v>299</v>
      </c>
      <c r="H794" s="9" t="s">
        <v>300</v>
      </c>
      <c r="I794" s="9" t="s">
        <v>301</v>
      </c>
      <c r="J794" s="15">
        <v>242424</v>
      </c>
      <c r="K794" s="15">
        <v>40404</v>
      </c>
    </row>
    <row r="795" spans="1:11">
      <c r="A795" s="9">
        <f t="shared" si="12"/>
        <v>790</v>
      </c>
      <c r="B795" s="9" t="s">
        <v>1465</v>
      </c>
      <c r="C795" s="9" t="s">
        <v>53</v>
      </c>
      <c r="D795" s="9" t="s">
        <v>1617</v>
      </c>
      <c r="E795" s="9" t="s">
        <v>1616</v>
      </c>
      <c r="F795" s="9" t="s">
        <v>1616</v>
      </c>
      <c r="G795" s="9" t="s">
        <v>313</v>
      </c>
      <c r="H795" s="9" t="s">
        <v>314</v>
      </c>
      <c r="I795" s="9" t="s">
        <v>315</v>
      </c>
      <c r="J795" s="15">
        <v>36000</v>
      </c>
      <c r="K795" s="15">
        <v>6000</v>
      </c>
    </row>
    <row r="796" spans="1:11">
      <c r="A796" s="9">
        <f t="shared" si="12"/>
        <v>791</v>
      </c>
      <c r="B796" s="9" t="s">
        <v>1465</v>
      </c>
      <c r="C796" s="9" t="s">
        <v>53</v>
      </c>
      <c r="D796" s="9" t="s">
        <v>1618</v>
      </c>
      <c r="E796" s="9" t="s">
        <v>1616</v>
      </c>
      <c r="F796" s="9" t="s">
        <v>1616</v>
      </c>
      <c r="G796" s="9" t="s">
        <v>1619</v>
      </c>
      <c r="H796" s="9" t="s">
        <v>1620</v>
      </c>
      <c r="I796" s="9" t="s">
        <v>1621</v>
      </c>
      <c r="J796" s="15">
        <v>14040</v>
      </c>
      <c r="K796" s="15">
        <v>2340</v>
      </c>
    </row>
    <row r="797" spans="1:11">
      <c r="A797" s="9">
        <f t="shared" si="12"/>
        <v>792</v>
      </c>
      <c r="B797" s="9" t="s">
        <v>1465</v>
      </c>
      <c r="C797" s="9" t="s">
        <v>53</v>
      </c>
      <c r="D797" s="9" t="s">
        <v>1622</v>
      </c>
      <c r="E797" s="9" t="s">
        <v>1616</v>
      </c>
      <c r="F797" s="9" t="s">
        <v>1616</v>
      </c>
      <c r="G797" s="9" t="s">
        <v>1442</v>
      </c>
      <c r="H797" s="9" t="s">
        <v>314</v>
      </c>
      <c r="I797" s="9" t="s">
        <v>1443</v>
      </c>
      <c r="J797" s="15">
        <v>4550</v>
      </c>
      <c r="K797" s="15">
        <v>758.34</v>
      </c>
    </row>
    <row r="798" spans="1:11">
      <c r="A798" s="9">
        <f t="shared" si="12"/>
        <v>793</v>
      </c>
      <c r="B798" s="9" t="s">
        <v>1465</v>
      </c>
      <c r="C798" s="9" t="s">
        <v>53</v>
      </c>
      <c r="D798" s="9" t="s">
        <v>1623</v>
      </c>
      <c r="E798" s="9" t="s">
        <v>1624</v>
      </c>
      <c r="F798" s="9" t="s">
        <v>1624</v>
      </c>
      <c r="G798" s="9" t="s">
        <v>102</v>
      </c>
      <c r="H798" s="9" t="s">
        <v>103</v>
      </c>
      <c r="I798" s="9" t="s">
        <v>104</v>
      </c>
      <c r="J798" s="15">
        <v>2310</v>
      </c>
      <c r="K798" s="15">
        <v>385</v>
      </c>
    </row>
    <row r="799" spans="1:11">
      <c r="A799" s="9">
        <f t="shared" si="12"/>
        <v>794</v>
      </c>
      <c r="B799" s="9" t="s">
        <v>1465</v>
      </c>
      <c r="C799" s="9" t="s">
        <v>53</v>
      </c>
      <c r="D799" s="9" t="s">
        <v>1625</v>
      </c>
      <c r="E799" s="9" t="s">
        <v>1624</v>
      </c>
      <c r="F799" s="9" t="s">
        <v>1624</v>
      </c>
      <c r="G799" s="9" t="s">
        <v>102</v>
      </c>
      <c r="H799" s="9" t="s">
        <v>103</v>
      </c>
      <c r="I799" s="9" t="s">
        <v>104</v>
      </c>
      <c r="J799" s="15">
        <v>1972</v>
      </c>
      <c r="K799" s="15">
        <v>328.67</v>
      </c>
    </row>
    <row r="800" spans="1:11">
      <c r="A800" s="9">
        <f t="shared" si="12"/>
        <v>795</v>
      </c>
      <c r="B800" s="9" t="s">
        <v>1465</v>
      </c>
      <c r="C800" s="9" t="s">
        <v>53</v>
      </c>
      <c r="D800" s="9" t="s">
        <v>1626</v>
      </c>
      <c r="E800" s="9" t="s">
        <v>1627</v>
      </c>
      <c r="F800" s="9" t="s">
        <v>1627</v>
      </c>
      <c r="G800" s="9" t="s">
        <v>1185</v>
      </c>
      <c r="H800" s="9" t="s">
        <v>75</v>
      </c>
      <c r="I800" s="9" t="s">
        <v>1186</v>
      </c>
      <c r="J800" s="15">
        <v>43023.55</v>
      </c>
      <c r="K800" s="15">
        <v>7170.59</v>
      </c>
    </row>
    <row r="801" spans="1:11">
      <c r="A801" s="9">
        <f t="shared" si="12"/>
        <v>796</v>
      </c>
      <c r="B801" s="9" t="s">
        <v>1465</v>
      </c>
      <c r="C801" s="9" t="s">
        <v>53</v>
      </c>
      <c r="D801" s="9" t="s">
        <v>1628</v>
      </c>
      <c r="E801" s="9" t="s">
        <v>1627</v>
      </c>
      <c r="F801" s="9" t="s">
        <v>1627</v>
      </c>
      <c r="G801" s="9" t="s">
        <v>318</v>
      </c>
      <c r="H801" s="9" t="s">
        <v>864</v>
      </c>
      <c r="I801" s="9" t="s">
        <v>320</v>
      </c>
      <c r="J801" s="15">
        <v>2120</v>
      </c>
      <c r="K801" s="15">
        <v>304.33</v>
      </c>
    </row>
    <row r="802" spans="1:11">
      <c r="A802" s="9">
        <f t="shared" si="12"/>
        <v>797</v>
      </c>
      <c r="B802" s="9" t="s">
        <v>1465</v>
      </c>
      <c r="C802" s="9" t="s">
        <v>53</v>
      </c>
      <c r="D802" s="9" t="s">
        <v>1629</v>
      </c>
      <c r="E802" s="9" t="s">
        <v>1627</v>
      </c>
      <c r="F802" s="9" t="s">
        <v>1627</v>
      </c>
      <c r="G802" s="9" t="s">
        <v>983</v>
      </c>
      <c r="H802" s="9" t="s">
        <v>103</v>
      </c>
      <c r="I802" s="9" t="s">
        <v>984</v>
      </c>
      <c r="J802" s="15">
        <v>2806</v>
      </c>
      <c r="K802" s="15">
        <v>467.66</v>
      </c>
    </row>
    <row r="803" spans="1:11">
      <c r="A803" s="9">
        <f t="shared" si="12"/>
        <v>798</v>
      </c>
      <c r="B803" s="9" t="s">
        <v>1465</v>
      </c>
      <c r="C803" s="9" t="s">
        <v>53</v>
      </c>
      <c r="D803" s="9" t="s">
        <v>1630</v>
      </c>
      <c r="E803" s="9" t="s">
        <v>1631</v>
      </c>
      <c r="F803" s="9" t="s">
        <v>1631</v>
      </c>
      <c r="G803" s="9" t="s">
        <v>1632</v>
      </c>
      <c r="H803" s="9" t="s">
        <v>1238</v>
      </c>
      <c r="I803" s="9" t="s">
        <v>1633</v>
      </c>
      <c r="J803" s="15">
        <v>30078</v>
      </c>
      <c r="K803" s="15">
        <v>5013</v>
      </c>
    </row>
    <row r="804" spans="1:11">
      <c r="A804" s="9">
        <f t="shared" si="12"/>
        <v>799</v>
      </c>
      <c r="B804" s="9" t="s">
        <v>1465</v>
      </c>
      <c r="C804" s="9" t="s">
        <v>53</v>
      </c>
      <c r="D804" s="9" t="s">
        <v>1634</v>
      </c>
      <c r="E804" s="9" t="s">
        <v>1635</v>
      </c>
      <c r="F804" s="9" t="s">
        <v>1635</v>
      </c>
      <c r="G804" s="9" t="s">
        <v>1368</v>
      </c>
      <c r="H804" s="9" t="s">
        <v>327</v>
      </c>
      <c r="I804" s="9" t="s">
        <v>1369</v>
      </c>
      <c r="J804" s="15">
        <v>136242</v>
      </c>
      <c r="K804" s="15">
        <v>22707</v>
      </c>
    </row>
    <row r="805" spans="1:11" ht="30">
      <c r="A805" s="9">
        <f t="shared" si="12"/>
        <v>800</v>
      </c>
      <c r="B805" s="9" t="s">
        <v>1465</v>
      </c>
      <c r="C805" s="9" t="s">
        <v>53</v>
      </c>
      <c r="D805" s="9" t="s">
        <v>1636</v>
      </c>
      <c r="E805" s="9" t="s">
        <v>1637</v>
      </c>
      <c r="F805" s="9" t="s">
        <v>1637</v>
      </c>
      <c r="G805" s="9" t="s">
        <v>510</v>
      </c>
      <c r="H805" s="9" t="s">
        <v>511</v>
      </c>
      <c r="I805" s="9" t="s">
        <v>512</v>
      </c>
      <c r="J805" s="15">
        <v>3960</v>
      </c>
      <c r="K805" s="15">
        <v>660</v>
      </c>
    </row>
    <row r="806" spans="1:11">
      <c r="A806" s="9">
        <f t="shared" si="12"/>
        <v>801</v>
      </c>
      <c r="B806" s="9" t="s">
        <v>1465</v>
      </c>
      <c r="C806" s="9" t="s">
        <v>71</v>
      </c>
      <c r="D806" s="9" t="s">
        <v>1638</v>
      </c>
      <c r="E806" s="9" t="s">
        <v>1631</v>
      </c>
      <c r="F806" s="9" t="s">
        <v>36</v>
      </c>
      <c r="G806" s="9" t="s">
        <v>74</v>
      </c>
      <c r="H806" s="9" t="s">
        <v>75</v>
      </c>
      <c r="I806" s="9" t="s">
        <v>38</v>
      </c>
      <c r="J806" s="15">
        <v>300000</v>
      </c>
      <c r="K806" s="15">
        <v>50000</v>
      </c>
    </row>
    <row r="807" spans="1:11">
      <c r="A807" s="9">
        <f t="shared" si="12"/>
        <v>802</v>
      </c>
      <c r="B807" s="9" t="s">
        <v>1465</v>
      </c>
      <c r="C807" s="9" t="s">
        <v>71</v>
      </c>
      <c r="D807" s="9" t="s">
        <v>1639</v>
      </c>
      <c r="E807" s="9" t="s">
        <v>1635</v>
      </c>
      <c r="F807" s="9" t="s">
        <v>36</v>
      </c>
      <c r="G807" s="9" t="s">
        <v>74</v>
      </c>
      <c r="H807" s="9" t="s">
        <v>75</v>
      </c>
      <c r="I807" s="9" t="s">
        <v>38</v>
      </c>
      <c r="J807" s="15">
        <v>440000</v>
      </c>
      <c r="K807" s="15">
        <v>73333.33</v>
      </c>
    </row>
    <row r="808" spans="1:11">
      <c r="A808" s="9">
        <f t="shared" si="12"/>
        <v>803</v>
      </c>
      <c r="B808" s="9" t="s">
        <v>1465</v>
      </c>
      <c r="C808" s="9" t="s">
        <v>53</v>
      </c>
      <c r="D808" s="9" t="s">
        <v>1640</v>
      </c>
      <c r="E808" s="9" t="s">
        <v>1570</v>
      </c>
      <c r="F808" s="9" t="s">
        <v>1570</v>
      </c>
      <c r="G808" s="9" t="s">
        <v>162</v>
      </c>
      <c r="H808" s="9" t="s">
        <v>163</v>
      </c>
      <c r="I808" s="9" t="s">
        <v>164</v>
      </c>
      <c r="J808" s="15">
        <v>18600</v>
      </c>
      <c r="K808" s="15">
        <v>3100</v>
      </c>
    </row>
    <row r="809" spans="1:11">
      <c r="A809" s="9">
        <f t="shared" si="12"/>
        <v>804</v>
      </c>
      <c r="B809" s="9" t="s">
        <v>1465</v>
      </c>
      <c r="C809" s="9" t="s">
        <v>53</v>
      </c>
      <c r="D809" s="9" t="s">
        <v>1641</v>
      </c>
      <c r="E809" s="9" t="s">
        <v>1570</v>
      </c>
      <c r="F809" s="9" t="s">
        <v>1570</v>
      </c>
      <c r="G809" s="9" t="s">
        <v>162</v>
      </c>
      <c r="H809" s="9" t="s">
        <v>163</v>
      </c>
      <c r="I809" s="9" t="s">
        <v>164</v>
      </c>
      <c r="J809" s="15">
        <v>23600</v>
      </c>
      <c r="K809" s="15">
        <v>3933.33</v>
      </c>
    </row>
    <row r="810" spans="1:11">
      <c r="A810" s="9">
        <f t="shared" si="12"/>
        <v>805</v>
      </c>
      <c r="B810" s="9" t="s">
        <v>1465</v>
      </c>
      <c r="C810" s="9" t="s">
        <v>53</v>
      </c>
      <c r="D810" s="9" t="s">
        <v>1642</v>
      </c>
      <c r="E810" s="9" t="s">
        <v>1643</v>
      </c>
      <c r="F810" s="9" t="s">
        <v>1644</v>
      </c>
      <c r="G810" s="9" t="s">
        <v>650</v>
      </c>
      <c r="H810" s="9" t="s">
        <v>651</v>
      </c>
      <c r="I810" s="9" t="s">
        <v>652</v>
      </c>
      <c r="J810" s="15">
        <v>996800</v>
      </c>
      <c r="K810" s="15">
        <v>166133.32999999999</v>
      </c>
    </row>
    <row r="811" spans="1:11">
      <c r="A811" s="9">
        <f t="shared" si="12"/>
        <v>806</v>
      </c>
      <c r="B811" s="9" t="s">
        <v>1465</v>
      </c>
      <c r="C811" s="9" t="s">
        <v>53</v>
      </c>
      <c r="D811" s="9" t="s">
        <v>1645</v>
      </c>
      <c r="E811" s="9" t="s">
        <v>1644</v>
      </c>
      <c r="F811" s="9" t="s">
        <v>1644</v>
      </c>
      <c r="G811" s="9" t="s">
        <v>318</v>
      </c>
      <c r="H811" s="9" t="s">
        <v>864</v>
      </c>
      <c r="I811" s="9" t="s">
        <v>320</v>
      </c>
      <c r="J811" s="15">
        <v>3917</v>
      </c>
      <c r="K811" s="15">
        <v>601.83000000000004</v>
      </c>
    </row>
    <row r="812" spans="1:11">
      <c r="A812" s="9">
        <f t="shared" si="12"/>
        <v>807</v>
      </c>
      <c r="B812" s="9" t="s">
        <v>1465</v>
      </c>
      <c r="C812" s="9" t="s">
        <v>53</v>
      </c>
      <c r="D812" s="9" t="s">
        <v>1646</v>
      </c>
      <c r="E812" s="9" t="s">
        <v>1647</v>
      </c>
      <c r="F812" s="9" t="s">
        <v>1647</v>
      </c>
      <c r="G812" s="9" t="s">
        <v>158</v>
      </c>
      <c r="H812" s="9" t="s">
        <v>159</v>
      </c>
      <c r="I812" s="9" t="s">
        <v>160</v>
      </c>
      <c r="J812" s="15">
        <v>36000</v>
      </c>
      <c r="K812" s="15">
        <v>6000</v>
      </c>
    </row>
    <row r="813" spans="1:11">
      <c r="A813" s="9">
        <f t="shared" si="12"/>
        <v>808</v>
      </c>
      <c r="B813" s="9" t="s">
        <v>1465</v>
      </c>
      <c r="C813" s="9" t="s">
        <v>53</v>
      </c>
      <c r="D813" s="9" t="s">
        <v>1648</v>
      </c>
      <c r="E813" s="9" t="s">
        <v>1647</v>
      </c>
      <c r="F813" s="9" t="s">
        <v>1647</v>
      </c>
      <c r="G813" s="9" t="s">
        <v>795</v>
      </c>
      <c r="H813" s="9" t="s">
        <v>163</v>
      </c>
      <c r="I813" s="9" t="s">
        <v>796</v>
      </c>
      <c r="J813" s="15">
        <v>469040</v>
      </c>
      <c r="K813" s="15">
        <v>78173.33</v>
      </c>
    </row>
    <row r="814" spans="1:11">
      <c r="A814" s="9">
        <f t="shared" si="12"/>
        <v>809</v>
      </c>
      <c r="B814" s="9" t="s">
        <v>1465</v>
      </c>
      <c r="C814" s="9" t="s">
        <v>53</v>
      </c>
      <c r="D814" s="9" t="s">
        <v>1649</v>
      </c>
      <c r="E814" s="9" t="s">
        <v>1643</v>
      </c>
      <c r="F814" s="9" t="s">
        <v>1643</v>
      </c>
      <c r="G814" s="9" t="s">
        <v>318</v>
      </c>
      <c r="H814" s="9" t="s">
        <v>864</v>
      </c>
      <c r="I814" s="9" t="s">
        <v>320</v>
      </c>
      <c r="J814" s="15">
        <v>1097</v>
      </c>
      <c r="K814" s="15">
        <v>147.66999999999999</v>
      </c>
    </row>
    <row r="815" spans="1:11">
      <c r="A815" s="9">
        <f t="shared" si="12"/>
        <v>810</v>
      </c>
      <c r="B815" s="9" t="s">
        <v>1465</v>
      </c>
      <c r="C815" s="9" t="s">
        <v>53</v>
      </c>
      <c r="D815" s="9" t="s">
        <v>1650</v>
      </c>
      <c r="E815" s="9" t="s">
        <v>1643</v>
      </c>
      <c r="F815" s="9" t="s">
        <v>1643</v>
      </c>
      <c r="G815" s="9" t="s">
        <v>299</v>
      </c>
      <c r="H815" s="9" t="s">
        <v>300</v>
      </c>
      <c r="I815" s="9" t="s">
        <v>301</v>
      </c>
      <c r="J815" s="15">
        <v>224952</v>
      </c>
      <c r="K815" s="15">
        <v>37492</v>
      </c>
    </row>
    <row r="816" spans="1:11">
      <c r="A816" s="9">
        <f t="shared" si="12"/>
        <v>811</v>
      </c>
      <c r="B816" s="9" t="s">
        <v>1465</v>
      </c>
      <c r="C816" s="9" t="s">
        <v>53</v>
      </c>
      <c r="D816" s="9" t="s">
        <v>1651</v>
      </c>
      <c r="E816" s="9" t="s">
        <v>1643</v>
      </c>
      <c r="F816" s="9" t="s">
        <v>1643</v>
      </c>
      <c r="G816" s="9" t="s">
        <v>1601</v>
      </c>
      <c r="H816" s="9" t="s">
        <v>1602</v>
      </c>
      <c r="I816" s="9" t="s">
        <v>1603</v>
      </c>
      <c r="J816" s="15">
        <v>16300</v>
      </c>
      <c r="K816" s="15">
        <v>2716.67</v>
      </c>
    </row>
    <row r="817" spans="1:11">
      <c r="A817" s="9">
        <f t="shared" si="12"/>
        <v>812</v>
      </c>
      <c r="B817" s="9" t="s">
        <v>1465</v>
      </c>
      <c r="C817" s="9" t="s">
        <v>53</v>
      </c>
      <c r="D817" s="9" t="s">
        <v>1652</v>
      </c>
      <c r="E817" s="9" t="s">
        <v>1643</v>
      </c>
      <c r="F817" s="9" t="s">
        <v>1643</v>
      </c>
      <c r="G817" s="9" t="s">
        <v>102</v>
      </c>
      <c r="H817" s="9" t="s">
        <v>103</v>
      </c>
      <c r="I817" s="9" t="s">
        <v>104</v>
      </c>
      <c r="J817" s="15">
        <v>3800</v>
      </c>
      <c r="K817" s="15">
        <v>633.33000000000004</v>
      </c>
    </row>
    <row r="818" spans="1:11">
      <c r="A818" s="9">
        <f t="shared" si="12"/>
        <v>813</v>
      </c>
      <c r="B818" s="9" t="s">
        <v>1465</v>
      </c>
      <c r="C818" s="9" t="s">
        <v>53</v>
      </c>
      <c r="D818" s="9" t="s">
        <v>1653</v>
      </c>
      <c r="E818" s="9" t="s">
        <v>1654</v>
      </c>
      <c r="F818" s="9" t="s">
        <v>1654</v>
      </c>
      <c r="G818" s="9" t="s">
        <v>650</v>
      </c>
      <c r="H818" s="9" t="s">
        <v>651</v>
      </c>
      <c r="I818" s="9" t="s">
        <v>652</v>
      </c>
      <c r="J818" s="15">
        <v>1025000</v>
      </c>
      <c r="K818" s="15">
        <v>170833.33</v>
      </c>
    </row>
    <row r="819" spans="1:11">
      <c r="A819" s="9">
        <f t="shared" si="12"/>
        <v>814</v>
      </c>
      <c r="B819" s="9" t="s">
        <v>1465</v>
      </c>
      <c r="C819" s="9" t="s">
        <v>53</v>
      </c>
      <c r="D819" s="9" t="s">
        <v>1655</v>
      </c>
      <c r="E819" s="9" t="s">
        <v>1656</v>
      </c>
      <c r="F819" s="9" t="s">
        <v>1654</v>
      </c>
      <c r="G819" s="9" t="s">
        <v>650</v>
      </c>
      <c r="H819" s="9" t="s">
        <v>651</v>
      </c>
      <c r="I819" s="9" t="s">
        <v>652</v>
      </c>
      <c r="J819" s="15">
        <v>994600</v>
      </c>
      <c r="K819" s="15">
        <v>165766.67000000001</v>
      </c>
    </row>
    <row r="820" spans="1:11">
      <c r="A820" s="9">
        <f t="shared" si="12"/>
        <v>815</v>
      </c>
      <c r="B820" s="9" t="s">
        <v>1465</v>
      </c>
      <c r="C820" s="9" t="s">
        <v>53</v>
      </c>
      <c r="D820" s="9" t="s">
        <v>1657</v>
      </c>
      <c r="E820" s="9" t="s">
        <v>1654</v>
      </c>
      <c r="F820" s="9" t="s">
        <v>1654</v>
      </c>
      <c r="G820" s="9" t="s">
        <v>1442</v>
      </c>
      <c r="H820" s="9" t="s">
        <v>314</v>
      </c>
      <c r="I820" s="9" t="s">
        <v>1443</v>
      </c>
      <c r="J820" s="15">
        <v>27400</v>
      </c>
      <c r="K820" s="15">
        <v>4566.67</v>
      </c>
    </row>
    <row r="821" spans="1:11">
      <c r="A821" s="9">
        <f t="shared" si="12"/>
        <v>816</v>
      </c>
      <c r="B821" s="9" t="s">
        <v>1465</v>
      </c>
      <c r="C821" s="9" t="s">
        <v>71</v>
      </c>
      <c r="D821" s="9" t="s">
        <v>1658</v>
      </c>
      <c r="E821" s="9" t="s">
        <v>1609</v>
      </c>
      <c r="F821" s="9" t="s">
        <v>36</v>
      </c>
      <c r="G821" s="9" t="s">
        <v>74</v>
      </c>
      <c r="H821" s="9" t="s">
        <v>75</v>
      </c>
      <c r="I821" s="9" t="s">
        <v>38</v>
      </c>
      <c r="J821" s="15">
        <v>14350</v>
      </c>
      <c r="K821" s="15">
        <v>2391.67</v>
      </c>
    </row>
    <row r="822" spans="1:11">
      <c r="A822" s="9">
        <f t="shared" si="12"/>
        <v>817</v>
      </c>
      <c r="B822" s="9" t="s">
        <v>1465</v>
      </c>
      <c r="C822" s="9" t="s">
        <v>71</v>
      </c>
      <c r="D822" s="9" t="s">
        <v>1659</v>
      </c>
      <c r="E822" s="9" t="s">
        <v>1644</v>
      </c>
      <c r="F822" s="9" t="s">
        <v>36</v>
      </c>
      <c r="G822" s="9" t="s">
        <v>74</v>
      </c>
      <c r="H822" s="9" t="s">
        <v>75</v>
      </c>
      <c r="I822" s="9" t="s">
        <v>38</v>
      </c>
      <c r="J822" s="15">
        <v>200000</v>
      </c>
      <c r="K822" s="15">
        <v>33333.33</v>
      </c>
    </row>
    <row r="823" spans="1:11">
      <c r="A823" s="9">
        <f t="shared" si="12"/>
        <v>818</v>
      </c>
      <c r="B823" s="9" t="s">
        <v>1465</v>
      </c>
      <c r="C823" s="9" t="s">
        <v>71</v>
      </c>
      <c r="D823" s="9" t="s">
        <v>1660</v>
      </c>
      <c r="E823" s="9" t="s">
        <v>1647</v>
      </c>
      <c r="F823" s="9" t="s">
        <v>36</v>
      </c>
      <c r="G823" s="9" t="s">
        <v>74</v>
      </c>
      <c r="H823" s="9" t="s">
        <v>75</v>
      </c>
      <c r="I823" s="9" t="s">
        <v>38</v>
      </c>
      <c r="J823" s="15">
        <v>100000</v>
      </c>
      <c r="K823" s="15">
        <v>16666.669999999998</v>
      </c>
    </row>
    <row r="824" spans="1:11">
      <c r="A824" s="9">
        <f t="shared" si="12"/>
        <v>819</v>
      </c>
      <c r="B824" s="9" t="s">
        <v>1465</v>
      </c>
      <c r="C824" s="9" t="s">
        <v>71</v>
      </c>
      <c r="D824" s="9" t="s">
        <v>1661</v>
      </c>
      <c r="E824" s="9" t="s">
        <v>1654</v>
      </c>
      <c r="F824" s="9" t="s">
        <v>36</v>
      </c>
      <c r="G824" s="9" t="s">
        <v>74</v>
      </c>
      <c r="H824" s="9" t="s">
        <v>75</v>
      </c>
      <c r="I824" s="9" t="s">
        <v>38</v>
      </c>
      <c r="J824" s="15">
        <v>510000</v>
      </c>
      <c r="K824" s="15">
        <v>85000</v>
      </c>
    </row>
    <row r="825" spans="1:11">
      <c r="A825" s="9">
        <f t="shared" si="12"/>
        <v>820</v>
      </c>
      <c r="B825" s="9" t="s">
        <v>1465</v>
      </c>
      <c r="C825" s="9" t="s">
        <v>53</v>
      </c>
      <c r="D825" s="9" t="s">
        <v>1662</v>
      </c>
      <c r="E825" s="9" t="s">
        <v>1656</v>
      </c>
      <c r="F825" s="9" t="s">
        <v>1656</v>
      </c>
      <c r="G825" s="9" t="s">
        <v>1185</v>
      </c>
      <c r="H825" s="9" t="s">
        <v>75</v>
      </c>
      <c r="I825" s="9" t="s">
        <v>1186</v>
      </c>
      <c r="J825" s="15">
        <v>166379.46</v>
      </c>
      <c r="K825" s="15">
        <v>27729.91</v>
      </c>
    </row>
    <row r="826" spans="1:11">
      <c r="A826" s="9">
        <f t="shared" si="12"/>
        <v>821</v>
      </c>
      <c r="B826" s="9" t="s">
        <v>1465</v>
      </c>
      <c r="C826" s="9" t="s">
        <v>53</v>
      </c>
      <c r="D826" s="9" t="s">
        <v>1663</v>
      </c>
      <c r="E826" s="9" t="s">
        <v>1656</v>
      </c>
      <c r="F826" s="9" t="s">
        <v>1656</v>
      </c>
      <c r="G826" s="9" t="s">
        <v>1185</v>
      </c>
      <c r="H826" s="9" t="s">
        <v>75</v>
      </c>
      <c r="I826" s="9" t="s">
        <v>1186</v>
      </c>
      <c r="J826" s="15">
        <v>3000</v>
      </c>
      <c r="K826" s="15">
        <v>500</v>
      </c>
    </row>
    <row r="827" spans="1:11">
      <c r="A827" s="9">
        <f t="shared" si="12"/>
        <v>822</v>
      </c>
      <c r="B827" s="9" t="s">
        <v>1465</v>
      </c>
      <c r="C827" s="9" t="s">
        <v>53</v>
      </c>
      <c r="D827" s="9" t="s">
        <v>1664</v>
      </c>
      <c r="E827" s="9" t="s">
        <v>1656</v>
      </c>
      <c r="F827" s="9" t="s">
        <v>1656</v>
      </c>
      <c r="G827" s="9" t="s">
        <v>1185</v>
      </c>
      <c r="H827" s="9" t="s">
        <v>75</v>
      </c>
      <c r="I827" s="9" t="s">
        <v>1186</v>
      </c>
      <c r="J827" s="15">
        <v>30000</v>
      </c>
      <c r="K827" s="15">
        <v>5000</v>
      </c>
    </row>
    <row r="828" spans="1:11">
      <c r="A828" s="9">
        <f t="shared" si="12"/>
        <v>823</v>
      </c>
      <c r="B828" s="9" t="s">
        <v>1465</v>
      </c>
      <c r="C828" s="9" t="s">
        <v>53</v>
      </c>
      <c r="D828" s="9" t="s">
        <v>1665</v>
      </c>
      <c r="E828" s="9" t="s">
        <v>1656</v>
      </c>
      <c r="F828" s="9" t="s">
        <v>1656</v>
      </c>
      <c r="G828" s="9" t="s">
        <v>1515</v>
      </c>
      <c r="H828" s="9" t="s">
        <v>1620</v>
      </c>
      <c r="I828" s="9" t="s">
        <v>1516</v>
      </c>
      <c r="J828" s="15">
        <v>781000</v>
      </c>
      <c r="K828" s="15">
        <v>130166.67</v>
      </c>
    </row>
    <row r="829" spans="1:11">
      <c r="A829" s="9">
        <f t="shared" si="12"/>
        <v>824</v>
      </c>
      <c r="B829" s="9" t="s">
        <v>1465</v>
      </c>
      <c r="C829" s="9" t="s">
        <v>53</v>
      </c>
      <c r="D829" s="9" t="s">
        <v>1666</v>
      </c>
      <c r="E829" s="9" t="s">
        <v>1656</v>
      </c>
      <c r="F829" s="9" t="s">
        <v>1656</v>
      </c>
      <c r="G829" s="9" t="s">
        <v>1382</v>
      </c>
      <c r="H829" s="9" t="s">
        <v>1383</v>
      </c>
      <c r="I829" s="9" t="s">
        <v>1384</v>
      </c>
      <c r="J829" s="15">
        <v>220</v>
      </c>
      <c r="K829" s="15">
        <v>36.67</v>
      </c>
    </row>
    <row r="830" spans="1:11">
      <c r="A830" s="9">
        <f t="shared" si="12"/>
        <v>825</v>
      </c>
      <c r="B830" s="9" t="s">
        <v>1465</v>
      </c>
      <c r="C830" s="9" t="s">
        <v>53</v>
      </c>
      <c r="D830" s="9" t="s">
        <v>1667</v>
      </c>
      <c r="E830" s="9" t="s">
        <v>1656</v>
      </c>
      <c r="F830" s="9" t="s">
        <v>1656</v>
      </c>
      <c r="G830" s="9" t="s">
        <v>1382</v>
      </c>
      <c r="H830" s="9" t="s">
        <v>1383</v>
      </c>
      <c r="I830" s="9" t="s">
        <v>1384</v>
      </c>
      <c r="J830" s="15">
        <v>288</v>
      </c>
      <c r="K830" s="15">
        <v>48</v>
      </c>
    </row>
    <row r="831" spans="1:11">
      <c r="A831" s="9">
        <f t="shared" si="12"/>
        <v>826</v>
      </c>
      <c r="B831" s="9" t="s">
        <v>1465</v>
      </c>
      <c r="C831" s="9" t="s">
        <v>53</v>
      </c>
      <c r="D831" s="9" t="s">
        <v>1668</v>
      </c>
      <c r="E831" s="9" t="s">
        <v>1656</v>
      </c>
      <c r="F831" s="9" t="s">
        <v>1656</v>
      </c>
      <c r="G831" s="9" t="s">
        <v>1382</v>
      </c>
      <c r="H831" s="9" t="s">
        <v>1383</v>
      </c>
      <c r="I831" s="9" t="s">
        <v>1384</v>
      </c>
      <c r="J831" s="15">
        <v>222</v>
      </c>
      <c r="K831" s="15">
        <v>37</v>
      </c>
    </row>
    <row r="832" spans="1:11">
      <c r="A832" s="9">
        <f t="shared" si="12"/>
        <v>827</v>
      </c>
      <c r="B832" s="9" t="s">
        <v>1669</v>
      </c>
      <c r="C832" s="9" t="s">
        <v>71</v>
      </c>
      <c r="D832" s="9" t="s">
        <v>1160</v>
      </c>
      <c r="E832" s="9" t="s">
        <v>1485</v>
      </c>
      <c r="F832" s="9" t="s">
        <v>36</v>
      </c>
      <c r="G832" s="9" t="s">
        <v>74</v>
      </c>
      <c r="H832" s="9" t="s">
        <v>75</v>
      </c>
      <c r="I832" s="9" t="s">
        <v>38</v>
      </c>
      <c r="J832" s="15">
        <v>410000</v>
      </c>
      <c r="K832" s="15">
        <v>68333.33</v>
      </c>
    </row>
    <row r="833" spans="1:11">
      <c r="A833" s="9">
        <f t="shared" si="12"/>
        <v>828</v>
      </c>
      <c r="B833" s="9" t="s">
        <v>1669</v>
      </c>
      <c r="C833" s="9" t="s">
        <v>53</v>
      </c>
      <c r="D833" s="9" t="s">
        <v>1670</v>
      </c>
      <c r="E833" s="9" t="s">
        <v>1671</v>
      </c>
      <c r="F833" s="9" t="s">
        <v>1671</v>
      </c>
      <c r="G833" s="9" t="s">
        <v>158</v>
      </c>
      <c r="H833" s="9" t="s">
        <v>159</v>
      </c>
      <c r="I833" s="9" t="s">
        <v>160</v>
      </c>
      <c r="J833" s="15">
        <v>36000</v>
      </c>
      <c r="K833" s="15">
        <v>6000</v>
      </c>
    </row>
    <row r="834" spans="1:11">
      <c r="A834" s="9">
        <f t="shared" si="12"/>
        <v>829</v>
      </c>
      <c r="B834" s="9" t="s">
        <v>1669</v>
      </c>
      <c r="C834" s="9" t="s">
        <v>53</v>
      </c>
      <c r="D834" s="9" t="s">
        <v>1672</v>
      </c>
      <c r="E834" s="9" t="s">
        <v>1656</v>
      </c>
      <c r="F834" s="9" t="s">
        <v>1671</v>
      </c>
      <c r="G834" s="9" t="s">
        <v>1290</v>
      </c>
      <c r="H834" s="9" t="s">
        <v>1291</v>
      </c>
      <c r="I834" s="9" t="s">
        <v>1292</v>
      </c>
      <c r="J834" s="15">
        <v>0</v>
      </c>
      <c r="K834" s="15">
        <v>15806.33</v>
      </c>
    </row>
    <row r="835" spans="1:11">
      <c r="A835" s="9">
        <f t="shared" si="12"/>
        <v>830</v>
      </c>
      <c r="B835" s="9" t="s">
        <v>1669</v>
      </c>
      <c r="C835" s="9" t="s">
        <v>53</v>
      </c>
      <c r="D835" s="9" t="s">
        <v>1673</v>
      </c>
      <c r="E835" s="9" t="s">
        <v>1674</v>
      </c>
      <c r="F835" s="9" t="s">
        <v>1671</v>
      </c>
      <c r="G835" s="9" t="s">
        <v>888</v>
      </c>
      <c r="H835" s="9" t="s">
        <v>500</v>
      </c>
      <c r="I835" s="9" t="s">
        <v>889</v>
      </c>
      <c r="J835" s="15">
        <v>782712</v>
      </c>
      <c r="K835" s="15">
        <v>130452</v>
      </c>
    </row>
    <row r="836" spans="1:11">
      <c r="A836" s="9">
        <f t="shared" si="12"/>
        <v>831</v>
      </c>
      <c r="B836" s="9" t="s">
        <v>1669</v>
      </c>
      <c r="C836" s="9" t="s">
        <v>53</v>
      </c>
      <c r="D836" s="9" t="s">
        <v>1127</v>
      </c>
      <c r="E836" s="9" t="s">
        <v>1675</v>
      </c>
      <c r="F836" s="9" t="s">
        <v>1675</v>
      </c>
      <c r="G836" s="9" t="s">
        <v>795</v>
      </c>
      <c r="H836" s="9" t="s">
        <v>163</v>
      </c>
      <c r="I836" s="9" t="s">
        <v>796</v>
      </c>
      <c r="J836" s="15">
        <v>198165</v>
      </c>
      <c r="K836" s="15">
        <v>33027.5</v>
      </c>
    </row>
    <row r="837" spans="1:11">
      <c r="A837" s="9">
        <f t="shared" si="12"/>
        <v>832</v>
      </c>
      <c r="B837" s="9" t="s">
        <v>1669</v>
      </c>
      <c r="C837" s="9" t="s">
        <v>53</v>
      </c>
      <c r="D837" s="9" t="s">
        <v>1676</v>
      </c>
      <c r="E837" s="9" t="s">
        <v>1675</v>
      </c>
      <c r="F837" s="9" t="s">
        <v>1675</v>
      </c>
      <c r="G837" s="9" t="s">
        <v>1677</v>
      </c>
      <c r="H837" s="9" t="s">
        <v>1620</v>
      </c>
      <c r="I837" s="9" t="s">
        <v>1678</v>
      </c>
      <c r="J837" s="15">
        <v>16000</v>
      </c>
      <c r="K837" s="15">
        <v>2666.67</v>
      </c>
    </row>
    <row r="838" spans="1:11">
      <c r="A838" s="9">
        <f t="shared" si="12"/>
        <v>833</v>
      </c>
      <c r="B838" s="9" t="s">
        <v>1669</v>
      </c>
      <c r="C838" s="9" t="s">
        <v>71</v>
      </c>
      <c r="D838" s="9" t="s">
        <v>1679</v>
      </c>
      <c r="E838" s="9" t="s">
        <v>1656</v>
      </c>
      <c r="F838" s="9" t="s">
        <v>36</v>
      </c>
      <c r="G838" s="9" t="s">
        <v>74</v>
      </c>
      <c r="H838" s="9" t="s">
        <v>75</v>
      </c>
      <c r="I838" s="9" t="s">
        <v>38</v>
      </c>
      <c r="J838" s="15">
        <v>400000</v>
      </c>
      <c r="K838" s="15">
        <v>66666.67</v>
      </c>
    </row>
    <row r="839" spans="1:11">
      <c r="A839" s="9">
        <f t="shared" ref="A839:A902" si="13">A838+1</f>
        <v>834</v>
      </c>
      <c r="B839" s="9" t="s">
        <v>1669</v>
      </c>
      <c r="C839" s="9" t="s">
        <v>53</v>
      </c>
      <c r="D839" s="9" t="s">
        <v>1680</v>
      </c>
      <c r="E839" s="9" t="s">
        <v>1681</v>
      </c>
      <c r="F839" s="9" t="s">
        <v>1681</v>
      </c>
      <c r="G839" s="9" t="s">
        <v>1682</v>
      </c>
      <c r="H839" s="9" t="s">
        <v>159</v>
      </c>
      <c r="I839" s="9" t="s">
        <v>1683</v>
      </c>
      <c r="J839" s="15">
        <v>24000</v>
      </c>
      <c r="K839" s="15">
        <v>4000</v>
      </c>
    </row>
    <row r="840" spans="1:11">
      <c r="A840" s="9">
        <f t="shared" si="13"/>
        <v>835</v>
      </c>
      <c r="B840" s="9" t="s">
        <v>1669</v>
      </c>
      <c r="C840" s="9" t="s">
        <v>53</v>
      </c>
      <c r="D840" s="9" t="s">
        <v>1684</v>
      </c>
      <c r="E840" s="9" t="s">
        <v>1685</v>
      </c>
      <c r="F840" s="9" t="s">
        <v>1685</v>
      </c>
      <c r="G840" s="9" t="s">
        <v>1447</v>
      </c>
      <c r="H840" s="9" t="s">
        <v>833</v>
      </c>
      <c r="I840" s="9" t="s">
        <v>1448</v>
      </c>
      <c r="J840" s="15">
        <v>39000</v>
      </c>
      <c r="K840" s="15">
        <v>6500</v>
      </c>
    </row>
    <row r="841" spans="1:11">
      <c r="A841" s="9">
        <f t="shared" si="13"/>
        <v>836</v>
      </c>
      <c r="B841" s="9" t="s">
        <v>1669</v>
      </c>
      <c r="C841" s="9" t="s">
        <v>53</v>
      </c>
      <c r="D841" s="9" t="s">
        <v>1686</v>
      </c>
      <c r="E841" s="9" t="s">
        <v>1685</v>
      </c>
      <c r="F841" s="9" t="s">
        <v>1685</v>
      </c>
      <c r="G841" s="9" t="s">
        <v>888</v>
      </c>
      <c r="H841" s="9" t="s">
        <v>500</v>
      </c>
      <c r="I841" s="9" t="s">
        <v>889</v>
      </c>
      <c r="J841" s="15">
        <v>898800</v>
      </c>
      <c r="K841" s="15">
        <v>149800</v>
      </c>
    </row>
    <row r="842" spans="1:11">
      <c r="A842" s="9">
        <f t="shared" si="13"/>
        <v>837</v>
      </c>
      <c r="B842" s="9" t="s">
        <v>1669</v>
      </c>
      <c r="C842" s="9" t="s">
        <v>53</v>
      </c>
      <c r="D842" s="9" t="s">
        <v>1687</v>
      </c>
      <c r="E842" s="9" t="s">
        <v>1688</v>
      </c>
      <c r="F842" s="9" t="s">
        <v>1688</v>
      </c>
      <c r="G842" s="9" t="s">
        <v>650</v>
      </c>
      <c r="H842" s="9" t="s">
        <v>651</v>
      </c>
      <c r="I842" s="9" t="s">
        <v>652</v>
      </c>
      <c r="J842" s="15">
        <v>987000</v>
      </c>
      <c r="K842" s="15">
        <v>164500</v>
      </c>
    </row>
    <row r="843" spans="1:11">
      <c r="A843" s="9">
        <f t="shared" si="13"/>
        <v>838</v>
      </c>
      <c r="B843" s="9" t="s">
        <v>1669</v>
      </c>
      <c r="C843" s="9" t="s">
        <v>53</v>
      </c>
      <c r="D843" s="9" t="s">
        <v>1689</v>
      </c>
      <c r="E843" s="9" t="s">
        <v>1690</v>
      </c>
      <c r="F843" s="9" t="s">
        <v>1690</v>
      </c>
      <c r="G843" s="9" t="s">
        <v>1226</v>
      </c>
      <c r="H843" s="9" t="s">
        <v>222</v>
      </c>
      <c r="I843" s="9" t="s">
        <v>1227</v>
      </c>
      <c r="J843" s="15">
        <v>5075</v>
      </c>
      <c r="K843" s="15">
        <v>845.83</v>
      </c>
    </row>
    <row r="844" spans="1:11">
      <c r="A844" s="9">
        <f t="shared" si="13"/>
        <v>839</v>
      </c>
      <c r="B844" s="9" t="s">
        <v>1669</v>
      </c>
      <c r="C844" s="9" t="s">
        <v>53</v>
      </c>
      <c r="D844" s="9" t="s">
        <v>1691</v>
      </c>
      <c r="E844" s="9" t="s">
        <v>1690</v>
      </c>
      <c r="F844" s="9" t="s">
        <v>1690</v>
      </c>
      <c r="G844" s="9" t="s">
        <v>1226</v>
      </c>
      <c r="H844" s="9" t="s">
        <v>222</v>
      </c>
      <c r="I844" s="9" t="s">
        <v>1227</v>
      </c>
      <c r="J844" s="15">
        <v>5075</v>
      </c>
      <c r="K844" s="15">
        <v>845.83</v>
      </c>
    </row>
    <row r="845" spans="1:11">
      <c r="A845" s="9">
        <f t="shared" si="13"/>
        <v>840</v>
      </c>
      <c r="B845" s="9" t="s">
        <v>1669</v>
      </c>
      <c r="C845" s="9" t="s">
        <v>53</v>
      </c>
      <c r="D845" s="9" t="s">
        <v>1692</v>
      </c>
      <c r="E845" s="9" t="s">
        <v>1690</v>
      </c>
      <c r="F845" s="9" t="s">
        <v>1690</v>
      </c>
      <c r="G845" s="9" t="s">
        <v>1693</v>
      </c>
      <c r="H845" s="9" t="s">
        <v>1694</v>
      </c>
      <c r="I845" s="9" t="s">
        <v>1695</v>
      </c>
      <c r="J845" s="15">
        <v>65000</v>
      </c>
      <c r="K845" s="15">
        <v>10833.33</v>
      </c>
    </row>
    <row r="846" spans="1:11">
      <c r="A846" s="9">
        <f t="shared" si="13"/>
        <v>841</v>
      </c>
      <c r="B846" s="9" t="s">
        <v>1669</v>
      </c>
      <c r="C846" s="9" t="s">
        <v>53</v>
      </c>
      <c r="D846" s="9" t="s">
        <v>1696</v>
      </c>
      <c r="E846" s="9" t="s">
        <v>1697</v>
      </c>
      <c r="F846" s="9" t="s">
        <v>1697</v>
      </c>
      <c r="G846" s="9" t="s">
        <v>809</v>
      </c>
      <c r="H846" s="9" t="s">
        <v>1698</v>
      </c>
      <c r="I846" s="9" t="s">
        <v>811</v>
      </c>
      <c r="J846" s="15">
        <v>2802.14</v>
      </c>
      <c r="K846" s="15">
        <v>467.02</v>
      </c>
    </row>
    <row r="847" spans="1:11">
      <c r="A847" s="9">
        <f t="shared" si="13"/>
        <v>842</v>
      </c>
      <c r="B847" s="9" t="s">
        <v>1669</v>
      </c>
      <c r="C847" s="9" t="s">
        <v>53</v>
      </c>
      <c r="D847" s="9" t="s">
        <v>1699</v>
      </c>
      <c r="E847" s="9" t="s">
        <v>1700</v>
      </c>
      <c r="F847" s="9" t="s">
        <v>1700</v>
      </c>
      <c r="G847" s="9" t="s">
        <v>1185</v>
      </c>
      <c r="H847" s="9" t="s">
        <v>75</v>
      </c>
      <c r="I847" s="9" t="s">
        <v>1186</v>
      </c>
      <c r="J847" s="15">
        <v>37271.360000000001</v>
      </c>
      <c r="K847" s="15">
        <v>6211.89</v>
      </c>
    </row>
    <row r="848" spans="1:11">
      <c r="A848" s="9">
        <f t="shared" si="13"/>
        <v>843</v>
      </c>
      <c r="B848" s="9" t="s">
        <v>1669</v>
      </c>
      <c r="C848" s="9" t="s">
        <v>71</v>
      </c>
      <c r="D848" s="9" t="s">
        <v>1701</v>
      </c>
      <c r="E848" s="9" t="s">
        <v>1685</v>
      </c>
      <c r="F848" s="9" t="s">
        <v>36</v>
      </c>
      <c r="G848" s="9" t="s">
        <v>74</v>
      </c>
      <c r="H848" s="9" t="s">
        <v>75</v>
      </c>
      <c r="I848" s="9" t="s">
        <v>38</v>
      </c>
      <c r="J848" s="15">
        <v>480000</v>
      </c>
      <c r="K848" s="15">
        <v>75200</v>
      </c>
    </row>
    <row r="849" spans="1:11">
      <c r="A849" s="9">
        <f t="shared" si="13"/>
        <v>844</v>
      </c>
      <c r="B849" s="9" t="s">
        <v>1669</v>
      </c>
      <c r="C849" s="9" t="s">
        <v>53</v>
      </c>
      <c r="D849" s="9" t="s">
        <v>1687</v>
      </c>
      <c r="E849" s="9" t="s">
        <v>1702</v>
      </c>
      <c r="F849" s="9" t="s">
        <v>1702</v>
      </c>
      <c r="G849" s="9" t="s">
        <v>650</v>
      </c>
      <c r="H849" s="9" t="s">
        <v>651</v>
      </c>
      <c r="I849" s="9" t="s">
        <v>652</v>
      </c>
      <c r="J849" s="15">
        <v>1000000</v>
      </c>
      <c r="K849" s="15">
        <v>166666.67000000001</v>
      </c>
    </row>
    <row r="850" spans="1:11">
      <c r="A850" s="9">
        <f t="shared" si="13"/>
        <v>845</v>
      </c>
      <c r="B850" s="9" t="s">
        <v>1669</v>
      </c>
      <c r="C850" s="9" t="s">
        <v>53</v>
      </c>
      <c r="D850" s="9" t="s">
        <v>1703</v>
      </c>
      <c r="E850" s="9" t="s">
        <v>1702</v>
      </c>
      <c r="F850" s="9" t="s">
        <v>1702</v>
      </c>
      <c r="G850" s="9" t="s">
        <v>983</v>
      </c>
      <c r="H850" s="9" t="s">
        <v>103</v>
      </c>
      <c r="I850" s="9" t="s">
        <v>984</v>
      </c>
      <c r="J850" s="15">
        <v>6783</v>
      </c>
      <c r="K850" s="15">
        <v>1130.5</v>
      </c>
    </row>
    <row r="851" spans="1:11">
      <c r="A851" s="9">
        <f t="shared" si="13"/>
        <v>846</v>
      </c>
      <c r="B851" s="9" t="s">
        <v>1669</v>
      </c>
      <c r="C851" s="9" t="s">
        <v>53</v>
      </c>
      <c r="D851" s="9" t="s">
        <v>1704</v>
      </c>
      <c r="E851" s="9" t="s">
        <v>1702</v>
      </c>
      <c r="F851" s="9" t="s">
        <v>1702</v>
      </c>
      <c r="G851" s="9" t="s">
        <v>983</v>
      </c>
      <c r="H851" s="9" t="s">
        <v>103</v>
      </c>
      <c r="I851" s="9" t="s">
        <v>984</v>
      </c>
      <c r="J851" s="15">
        <v>6709</v>
      </c>
      <c r="K851" s="15">
        <v>1118.1600000000001</v>
      </c>
    </row>
    <row r="852" spans="1:11">
      <c r="A852" s="9">
        <f t="shared" si="13"/>
        <v>847</v>
      </c>
      <c r="B852" s="9" t="s">
        <v>1669</v>
      </c>
      <c r="C852" s="9" t="s">
        <v>53</v>
      </c>
      <c r="D852" s="9" t="s">
        <v>1705</v>
      </c>
      <c r="E852" s="9" t="s">
        <v>1702</v>
      </c>
      <c r="F852" s="9" t="s">
        <v>1702</v>
      </c>
      <c r="G852" s="9" t="s">
        <v>983</v>
      </c>
      <c r="H852" s="9" t="s">
        <v>103</v>
      </c>
      <c r="I852" s="9" t="s">
        <v>984</v>
      </c>
      <c r="J852" s="15">
        <v>7614</v>
      </c>
      <c r="K852" s="15">
        <v>1269.01</v>
      </c>
    </row>
    <row r="853" spans="1:11">
      <c r="A853" s="9">
        <f t="shared" si="13"/>
        <v>848</v>
      </c>
      <c r="B853" s="9" t="s">
        <v>1669</v>
      </c>
      <c r="C853" s="9" t="s">
        <v>53</v>
      </c>
      <c r="D853" s="9" t="s">
        <v>169</v>
      </c>
      <c r="E853" s="9" t="s">
        <v>1702</v>
      </c>
      <c r="F853" s="9" t="s">
        <v>1702</v>
      </c>
      <c r="G853" s="9" t="s">
        <v>888</v>
      </c>
      <c r="H853" s="9" t="s">
        <v>500</v>
      </c>
      <c r="I853" s="9" t="s">
        <v>889</v>
      </c>
      <c r="J853" s="15">
        <v>558782</v>
      </c>
      <c r="K853" s="15">
        <v>93130.33</v>
      </c>
    </row>
    <row r="854" spans="1:11">
      <c r="A854" s="9">
        <f t="shared" si="13"/>
        <v>849</v>
      </c>
      <c r="B854" s="9" t="s">
        <v>1669</v>
      </c>
      <c r="C854" s="9" t="s">
        <v>53</v>
      </c>
      <c r="D854" s="9" t="s">
        <v>1706</v>
      </c>
      <c r="E854" s="9" t="s">
        <v>1702</v>
      </c>
      <c r="F854" s="9" t="s">
        <v>1702</v>
      </c>
      <c r="G854" s="9" t="s">
        <v>1677</v>
      </c>
      <c r="H854" s="9" t="s">
        <v>1620</v>
      </c>
      <c r="I854" s="9" t="s">
        <v>1678</v>
      </c>
      <c r="J854" s="15">
        <v>16000</v>
      </c>
      <c r="K854" s="15">
        <v>2666.67</v>
      </c>
    </row>
    <row r="855" spans="1:11">
      <c r="A855" s="9">
        <f t="shared" si="13"/>
        <v>850</v>
      </c>
      <c r="B855" s="9" t="s">
        <v>1669</v>
      </c>
      <c r="C855" s="9" t="s">
        <v>53</v>
      </c>
      <c r="D855" s="9" t="s">
        <v>1707</v>
      </c>
      <c r="E855" s="9" t="s">
        <v>1702</v>
      </c>
      <c r="F855" s="9" t="s">
        <v>1702</v>
      </c>
      <c r="G855" s="9" t="s">
        <v>102</v>
      </c>
      <c r="H855" s="9" t="s">
        <v>103</v>
      </c>
      <c r="I855" s="9" t="s">
        <v>104</v>
      </c>
      <c r="J855" s="15">
        <v>3600</v>
      </c>
      <c r="K855" s="15">
        <v>600</v>
      </c>
    </row>
    <row r="856" spans="1:11">
      <c r="A856" s="9">
        <f t="shared" si="13"/>
        <v>851</v>
      </c>
      <c r="B856" s="9" t="s">
        <v>1669</v>
      </c>
      <c r="C856" s="9" t="s">
        <v>53</v>
      </c>
      <c r="D856" s="9" t="s">
        <v>1708</v>
      </c>
      <c r="E856" s="9" t="s">
        <v>1709</v>
      </c>
      <c r="F856" s="9" t="s">
        <v>1709</v>
      </c>
      <c r="G856" s="9" t="s">
        <v>318</v>
      </c>
      <c r="H856" s="9" t="s">
        <v>864</v>
      </c>
      <c r="I856" s="9" t="s">
        <v>320</v>
      </c>
      <c r="J856" s="15">
        <v>4292</v>
      </c>
      <c r="K856" s="15">
        <v>631.83000000000004</v>
      </c>
    </row>
    <row r="857" spans="1:11">
      <c r="A857" s="9">
        <f t="shared" si="13"/>
        <v>852</v>
      </c>
      <c r="B857" s="9" t="s">
        <v>1669</v>
      </c>
      <c r="C857" s="9" t="s">
        <v>53</v>
      </c>
      <c r="D857" s="9" t="s">
        <v>1710</v>
      </c>
      <c r="E857" s="9" t="s">
        <v>1711</v>
      </c>
      <c r="F857" s="9" t="s">
        <v>1711</v>
      </c>
      <c r="G857" s="9" t="s">
        <v>650</v>
      </c>
      <c r="H857" s="9" t="s">
        <v>651</v>
      </c>
      <c r="I857" s="9" t="s">
        <v>652</v>
      </c>
      <c r="J857" s="15">
        <v>1002500</v>
      </c>
      <c r="K857" s="15">
        <v>167083.32999999999</v>
      </c>
    </row>
    <row r="858" spans="1:11">
      <c r="A858" s="9">
        <f t="shared" si="13"/>
        <v>853</v>
      </c>
      <c r="B858" s="9" t="s">
        <v>1669</v>
      </c>
      <c r="C858" s="9" t="s">
        <v>53</v>
      </c>
      <c r="D858" s="9" t="s">
        <v>1712</v>
      </c>
      <c r="E858" s="9" t="s">
        <v>1711</v>
      </c>
      <c r="F858" s="9" t="s">
        <v>1711</v>
      </c>
      <c r="G858" s="9" t="s">
        <v>1713</v>
      </c>
      <c r="H858" s="9" t="s">
        <v>57</v>
      </c>
      <c r="I858" s="9" t="s">
        <v>1714</v>
      </c>
      <c r="J858" s="15">
        <v>165597</v>
      </c>
      <c r="K858" s="15">
        <v>27599.5</v>
      </c>
    </row>
    <row r="859" spans="1:11">
      <c r="A859" s="9">
        <f t="shared" si="13"/>
        <v>854</v>
      </c>
      <c r="B859" s="9" t="s">
        <v>1669</v>
      </c>
      <c r="C859" s="9" t="s">
        <v>53</v>
      </c>
      <c r="D859" s="9" t="s">
        <v>1715</v>
      </c>
      <c r="E859" s="9" t="s">
        <v>1716</v>
      </c>
      <c r="F859" s="9" t="s">
        <v>1716</v>
      </c>
      <c r="G859" s="9" t="s">
        <v>888</v>
      </c>
      <c r="H859" s="9" t="s">
        <v>500</v>
      </c>
      <c r="I859" s="9" t="s">
        <v>889</v>
      </c>
      <c r="J859" s="15">
        <v>733638</v>
      </c>
      <c r="K859" s="15">
        <v>122273</v>
      </c>
    </row>
    <row r="860" spans="1:11">
      <c r="A860" s="9">
        <f t="shared" si="13"/>
        <v>855</v>
      </c>
      <c r="B860" s="9" t="s">
        <v>1669</v>
      </c>
      <c r="C860" s="9" t="s">
        <v>53</v>
      </c>
      <c r="D860" s="9" t="s">
        <v>1717</v>
      </c>
      <c r="E860" s="9" t="s">
        <v>1716</v>
      </c>
      <c r="F860" s="9" t="s">
        <v>1716</v>
      </c>
      <c r="G860" s="9" t="s">
        <v>313</v>
      </c>
      <c r="H860" s="9" t="s">
        <v>314</v>
      </c>
      <c r="I860" s="9" t="s">
        <v>315</v>
      </c>
      <c r="J860" s="15">
        <v>36000</v>
      </c>
      <c r="K860" s="15">
        <v>6000</v>
      </c>
    </row>
    <row r="861" spans="1:11">
      <c r="A861" s="9">
        <f t="shared" si="13"/>
        <v>856</v>
      </c>
      <c r="B861" s="9" t="s">
        <v>1669</v>
      </c>
      <c r="C861" s="9" t="s">
        <v>71</v>
      </c>
      <c r="D861" s="9" t="s">
        <v>1718</v>
      </c>
      <c r="E861" s="9" t="s">
        <v>1702</v>
      </c>
      <c r="F861" s="9" t="s">
        <v>36</v>
      </c>
      <c r="G861" s="9" t="s">
        <v>74</v>
      </c>
      <c r="H861" s="9" t="s">
        <v>75</v>
      </c>
      <c r="I861" s="9" t="s">
        <v>38</v>
      </c>
      <c r="J861" s="15">
        <v>476320</v>
      </c>
      <c r="K861" s="15">
        <v>79386.67</v>
      </c>
    </row>
    <row r="862" spans="1:11">
      <c r="A862" s="9">
        <f t="shared" si="13"/>
        <v>857</v>
      </c>
      <c r="B862" s="9" t="s">
        <v>1669</v>
      </c>
      <c r="C862" s="9" t="s">
        <v>53</v>
      </c>
      <c r="D862" s="9" t="s">
        <v>1719</v>
      </c>
      <c r="E862" s="9" t="s">
        <v>1720</v>
      </c>
      <c r="F862" s="9" t="s">
        <v>1720</v>
      </c>
      <c r="G862" s="9" t="s">
        <v>983</v>
      </c>
      <c r="H862" s="9" t="s">
        <v>103</v>
      </c>
      <c r="I862" s="9" t="s">
        <v>984</v>
      </c>
      <c r="J862" s="15">
        <v>2099</v>
      </c>
      <c r="K862" s="15">
        <v>349.83</v>
      </c>
    </row>
    <row r="863" spans="1:11">
      <c r="A863" s="9">
        <f t="shared" si="13"/>
        <v>858</v>
      </c>
      <c r="B863" s="9" t="s">
        <v>1669</v>
      </c>
      <c r="C863" s="9" t="s">
        <v>53</v>
      </c>
      <c r="D863" s="9" t="s">
        <v>1721</v>
      </c>
      <c r="E863" s="9" t="s">
        <v>1720</v>
      </c>
      <c r="F863" s="9" t="s">
        <v>1720</v>
      </c>
      <c r="G863" s="9" t="s">
        <v>650</v>
      </c>
      <c r="H863" s="9" t="s">
        <v>651</v>
      </c>
      <c r="I863" s="9" t="s">
        <v>652</v>
      </c>
      <c r="J863" s="15">
        <v>1000000</v>
      </c>
      <c r="K863" s="15">
        <v>166666.67000000001</v>
      </c>
    </row>
    <row r="864" spans="1:11">
      <c r="A864" s="9">
        <f t="shared" si="13"/>
        <v>859</v>
      </c>
      <c r="B864" s="9" t="s">
        <v>1669</v>
      </c>
      <c r="C864" s="9" t="s">
        <v>53</v>
      </c>
      <c r="D864" s="9" t="s">
        <v>1722</v>
      </c>
      <c r="E864" s="9" t="s">
        <v>1723</v>
      </c>
      <c r="F864" s="9" t="s">
        <v>1723</v>
      </c>
      <c r="G864" s="9" t="s">
        <v>650</v>
      </c>
      <c r="H864" s="9" t="s">
        <v>651</v>
      </c>
      <c r="I864" s="9" t="s">
        <v>652</v>
      </c>
      <c r="J864" s="15">
        <v>1004300</v>
      </c>
      <c r="K864" s="15">
        <v>167383.32999999999</v>
      </c>
    </row>
    <row r="865" spans="1:11">
      <c r="A865" s="9">
        <f t="shared" si="13"/>
        <v>860</v>
      </c>
      <c r="B865" s="9" t="s">
        <v>1669</v>
      </c>
      <c r="C865" s="9" t="s">
        <v>53</v>
      </c>
      <c r="D865" s="9" t="s">
        <v>1724</v>
      </c>
      <c r="E865" s="9" t="s">
        <v>1723</v>
      </c>
      <c r="F865" s="9" t="s">
        <v>1723</v>
      </c>
      <c r="G865" s="9" t="s">
        <v>1233</v>
      </c>
      <c r="H865" s="9" t="s">
        <v>300</v>
      </c>
      <c r="I865" s="9" t="s">
        <v>1234</v>
      </c>
      <c r="J865" s="15">
        <v>4300</v>
      </c>
      <c r="K865" s="15">
        <v>716.67</v>
      </c>
    </row>
    <row r="866" spans="1:11">
      <c r="A866" s="9">
        <f t="shared" si="13"/>
        <v>861</v>
      </c>
      <c r="B866" s="9" t="s">
        <v>1669</v>
      </c>
      <c r="C866" s="9" t="s">
        <v>53</v>
      </c>
      <c r="D866" s="9" t="s">
        <v>1725</v>
      </c>
      <c r="E866" s="9" t="s">
        <v>1723</v>
      </c>
      <c r="F866" s="9" t="s">
        <v>1723</v>
      </c>
      <c r="G866" s="9" t="s">
        <v>1726</v>
      </c>
      <c r="H866" s="9" t="s">
        <v>1727</v>
      </c>
      <c r="I866" s="9" t="s">
        <v>1728</v>
      </c>
      <c r="J866" s="15">
        <v>1940000</v>
      </c>
      <c r="K866" s="15">
        <v>323333.33</v>
      </c>
    </row>
    <row r="867" spans="1:11">
      <c r="A867" s="9">
        <f t="shared" si="13"/>
        <v>862</v>
      </c>
      <c r="B867" s="9" t="s">
        <v>1669</v>
      </c>
      <c r="C867" s="9" t="s">
        <v>71</v>
      </c>
      <c r="D867" s="9" t="s">
        <v>1729</v>
      </c>
      <c r="E867" s="9" t="s">
        <v>1730</v>
      </c>
      <c r="F867" s="9" t="s">
        <v>36</v>
      </c>
      <c r="G867" s="9" t="s">
        <v>74</v>
      </c>
      <c r="H867" s="9" t="s">
        <v>75</v>
      </c>
      <c r="I867" s="9" t="s">
        <v>38</v>
      </c>
      <c r="J867" s="15">
        <v>700000</v>
      </c>
      <c r="K867" s="15">
        <v>116666.67</v>
      </c>
    </row>
    <row r="868" spans="1:11">
      <c r="A868" s="9">
        <f t="shared" si="13"/>
        <v>863</v>
      </c>
      <c r="B868" s="9" t="s">
        <v>1669</v>
      </c>
      <c r="C868" s="9" t="s">
        <v>53</v>
      </c>
      <c r="D868" s="9" t="s">
        <v>1731</v>
      </c>
      <c r="E868" s="9" t="s">
        <v>1732</v>
      </c>
      <c r="F868" s="9" t="s">
        <v>1732</v>
      </c>
      <c r="G868" s="9" t="s">
        <v>1677</v>
      </c>
      <c r="H868" s="9" t="s">
        <v>1620</v>
      </c>
      <c r="I868" s="9" t="s">
        <v>1678</v>
      </c>
      <c r="J868" s="15">
        <v>29800</v>
      </c>
      <c r="K868" s="15">
        <v>4966.67</v>
      </c>
    </row>
    <row r="869" spans="1:11">
      <c r="A869" s="9">
        <f t="shared" si="13"/>
        <v>864</v>
      </c>
      <c r="B869" s="9" t="s">
        <v>1669</v>
      </c>
      <c r="C869" s="9" t="s">
        <v>53</v>
      </c>
      <c r="D869" s="9" t="s">
        <v>1733</v>
      </c>
      <c r="E869" s="9" t="s">
        <v>1734</v>
      </c>
      <c r="F869" s="9" t="s">
        <v>1734</v>
      </c>
      <c r="G869" s="9" t="s">
        <v>1290</v>
      </c>
      <c r="H869" s="9" t="s">
        <v>1291</v>
      </c>
      <c r="I869" s="9" t="s">
        <v>1292</v>
      </c>
      <c r="J869" s="15">
        <v>0</v>
      </c>
      <c r="K869" s="15">
        <v>15806.33</v>
      </c>
    </row>
    <row r="870" spans="1:11">
      <c r="A870" s="9">
        <f t="shared" si="13"/>
        <v>865</v>
      </c>
      <c r="B870" s="9" t="s">
        <v>1669</v>
      </c>
      <c r="C870" s="9" t="s">
        <v>53</v>
      </c>
      <c r="D870" s="9" t="s">
        <v>1735</v>
      </c>
      <c r="E870" s="9" t="s">
        <v>1688</v>
      </c>
      <c r="F870" s="9" t="s">
        <v>1734</v>
      </c>
      <c r="G870" s="9" t="s">
        <v>1736</v>
      </c>
      <c r="H870" s="9" t="s">
        <v>195</v>
      </c>
      <c r="I870" s="9" t="s">
        <v>1737</v>
      </c>
      <c r="J870" s="15">
        <v>252270</v>
      </c>
      <c r="K870" s="15">
        <v>42045</v>
      </c>
    </row>
    <row r="871" spans="1:11">
      <c r="A871" s="9">
        <f t="shared" si="13"/>
        <v>866</v>
      </c>
      <c r="B871" s="9" t="s">
        <v>1669</v>
      </c>
      <c r="C871" s="9" t="s">
        <v>53</v>
      </c>
      <c r="D871" s="9" t="s">
        <v>1738</v>
      </c>
      <c r="E871" s="9" t="s">
        <v>1720</v>
      </c>
      <c r="F871" s="9" t="s">
        <v>1734</v>
      </c>
      <c r="G871" s="9" t="s">
        <v>1736</v>
      </c>
      <c r="H871" s="9" t="s">
        <v>195</v>
      </c>
      <c r="I871" s="9" t="s">
        <v>1737</v>
      </c>
      <c r="J871" s="15">
        <v>286020</v>
      </c>
      <c r="K871" s="15">
        <v>47670</v>
      </c>
    </row>
    <row r="872" spans="1:11">
      <c r="A872" s="9">
        <f t="shared" si="13"/>
        <v>867</v>
      </c>
      <c r="B872" s="9" t="s">
        <v>1669</v>
      </c>
      <c r="C872" s="9" t="s">
        <v>53</v>
      </c>
      <c r="D872" s="9" t="s">
        <v>1739</v>
      </c>
      <c r="E872" s="9" t="s">
        <v>1723</v>
      </c>
      <c r="F872" s="9" t="s">
        <v>1734</v>
      </c>
      <c r="G872" s="9" t="s">
        <v>1736</v>
      </c>
      <c r="H872" s="9" t="s">
        <v>195</v>
      </c>
      <c r="I872" s="9" t="s">
        <v>1737</v>
      </c>
      <c r="J872" s="15">
        <v>100035</v>
      </c>
      <c r="K872" s="15">
        <v>16672.5</v>
      </c>
    </row>
    <row r="873" spans="1:11">
      <c r="A873" s="9">
        <f t="shared" si="13"/>
        <v>868</v>
      </c>
      <c r="B873" s="9" t="s">
        <v>1669</v>
      </c>
      <c r="C873" s="9" t="s">
        <v>53</v>
      </c>
      <c r="D873" s="9" t="s">
        <v>752</v>
      </c>
      <c r="E873" s="9" t="s">
        <v>1734</v>
      </c>
      <c r="F873" s="9" t="s">
        <v>1734</v>
      </c>
      <c r="G873" s="9" t="s">
        <v>1185</v>
      </c>
      <c r="H873" s="9" t="s">
        <v>75</v>
      </c>
      <c r="I873" s="9" t="s">
        <v>1186</v>
      </c>
      <c r="J873" s="15">
        <v>30000</v>
      </c>
      <c r="K873" s="15">
        <v>5000</v>
      </c>
    </row>
    <row r="874" spans="1:11">
      <c r="A874" s="9">
        <f t="shared" si="13"/>
        <v>869</v>
      </c>
      <c r="B874" s="9" t="s">
        <v>1669</v>
      </c>
      <c r="C874" s="9" t="s">
        <v>53</v>
      </c>
      <c r="D874" s="9" t="s">
        <v>1740</v>
      </c>
      <c r="E874" s="9" t="s">
        <v>1734</v>
      </c>
      <c r="F874" s="9" t="s">
        <v>1734</v>
      </c>
      <c r="G874" s="9" t="s">
        <v>1185</v>
      </c>
      <c r="H874" s="9" t="s">
        <v>75</v>
      </c>
      <c r="I874" s="9" t="s">
        <v>1186</v>
      </c>
      <c r="J874" s="15">
        <v>3000</v>
      </c>
      <c r="K874" s="15">
        <v>500</v>
      </c>
    </row>
    <row r="875" spans="1:11">
      <c r="A875" s="9">
        <f t="shared" si="13"/>
        <v>870</v>
      </c>
      <c r="B875" s="9" t="s">
        <v>1669</v>
      </c>
      <c r="C875" s="9" t="s">
        <v>53</v>
      </c>
      <c r="D875" s="9" t="s">
        <v>1741</v>
      </c>
      <c r="E875" s="9" t="s">
        <v>1734</v>
      </c>
      <c r="F875" s="9" t="s">
        <v>1734</v>
      </c>
      <c r="G875" s="9" t="s">
        <v>1185</v>
      </c>
      <c r="H875" s="9" t="s">
        <v>75</v>
      </c>
      <c r="I875" s="9" t="s">
        <v>1186</v>
      </c>
      <c r="J875" s="15">
        <v>167805.99</v>
      </c>
      <c r="K875" s="15">
        <v>27967.67</v>
      </c>
    </row>
    <row r="876" spans="1:11">
      <c r="A876" s="9">
        <f t="shared" si="13"/>
        <v>871</v>
      </c>
      <c r="B876" s="9" t="s">
        <v>1669</v>
      </c>
      <c r="C876" s="9" t="s">
        <v>53</v>
      </c>
      <c r="D876" s="9" t="s">
        <v>1742</v>
      </c>
      <c r="E876" s="9" t="s">
        <v>1521</v>
      </c>
      <c r="F876" s="9" t="s">
        <v>1734</v>
      </c>
      <c r="G876" s="9" t="s">
        <v>1185</v>
      </c>
      <c r="H876" s="9" t="s">
        <v>75</v>
      </c>
      <c r="I876" s="9" t="s">
        <v>1186</v>
      </c>
      <c r="J876" s="15">
        <v>69000</v>
      </c>
      <c r="K876" s="15">
        <v>11500</v>
      </c>
    </row>
    <row r="877" spans="1:11">
      <c r="A877" s="9">
        <f t="shared" si="13"/>
        <v>872</v>
      </c>
      <c r="B877" s="9" t="s">
        <v>1669</v>
      </c>
      <c r="C877" s="9" t="s">
        <v>53</v>
      </c>
      <c r="D877" s="9" t="s">
        <v>1743</v>
      </c>
      <c r="E877" s="9" t="s">
        <v>1402</v>
      </c>
      <c r="F877" s="9" t="s">
        <v>1734</v>
      </c>
      <c r="G877" s="9" t="s">
        <v>1185</v>
      </c>
      <c r="H877" s="9" t="s">
        <v>75</v>
      </c>
      <c r="I877" s="9" t="s">
        <v>1186</v>
      </c>
      <c r="J877" s="15">
        <v>4500</v>
      </c>
      <c r="K877" s="15">
        <v>750</v>
      </c>
    </row>
    <row r="878" spans="1:11">
      <c r="A878" s="9">
        <f t="shared" si="13"/>
        <v>873</v>
      </c>
      <c r="B878" s="9" t="s">
        <v>1669</v>
      </c>
      <c r="C878" s="9" t="s">
        <v>53</v>
      </c>
      <c r="D878" s="9" t="s">
        <v>1744</v>
      </c>
      <c r="E878" s="9" t="s">
        <v>1745</v>
      </c>
      <c r="F878" s="9" t="s">
        <v>1734</v>
      </c>
      <c r="G878" s="9" t="s">
        <v>1185</v>
      </c>
      <c r="H878" s="9" t="s">
        <v>75</v>
      </c>
      <c r="I878" s="9" t="s">
        <v>1186</v>
      </c>
      <c r="J878" s="15">
        <v>30500</v>
      </c>
      <c r="K878" s="15">
        <v>5083.33</v>
      </c>
    </row>
    <row r="879" spans="1:11">
      <c r="A879" s="9">
        <f t="shared" si="13"/>
        <v>874</v>
      </c>
      <c r="B879" s="9" t="s">
        <v>1669</v>
      </c>
      <c r="C879" s="9" t="s">
        <v>53</v>
      </c>
      <c r="D879" s="9" t="s">
        <v>1746</v>
      </c>
      <c r="E879" s="9" t="s">
        <v>1734</v>
      </c>
      <c r="F879" s="9" t="s">
        <v>1734</v>
      </c>
      <c r="G879" s="9" t="s">
        <v>1382</v>
      </c>
      <c r="H879" s="9" t="s">
        <v>1383</v>
      </c>
      <c r="I879" s="9" t="s">
        <v>1384</v>
      </c>
      <c r="J879" s="15">
        <v>268</v>
      </c>
      <c r="K879" s="15">
        <v>44.67</v>
      </c>
    </row>
    <row r="880" spans="1:11">
      <c r="A880" s="9">
        <f t="shared" si="13"/>
        <v>875</v>
      </c>
      <c r="B880" s="9" t="s">
        <v>1669</v>
      </c>
      <c r="C880" s="9" t="s">
        <v>53</v>
      </c>
      <c r="D880" s="9" t="s">
        <v>1747</v>
      </c>
      <c r="E880" s="9" t="s">
        <v>1734</v>
      </c>
      <c r="F880" s="9" t="s">
        <v>1734</v>
      </c>
      <c r="G880" s="9" t="s">
        <v>1382</v>
      </c>
      <c r="H880" s="9" t="s">
        <v>1383</v>
      </c>
      <c r="I880" s="9" t="s">
        <v>1384</v>
      </c>
      <c r="J880" s="15">
        <v>214</v>
      </c>
      <c r="K880" s="15">
        <v>35.67</v>
      </c>
    </row>
    <row r="881" spans="1:11">
      <c r="A881" s="9">
        <f t="shared" si="13"/>
        <v>876</v>
      </c>
      <c r="B881" s="9" t="s">
        <v>1669</v>
      </c>
      <c r="C881" s="9" t="s">
        <v>53</v>
      </c>
      <c r="D881" s="9" t="s">
        <v>1748</v>
      </c>
      <c r="E881" s="9" t="s">
        <v>1734</v>
      </c>
      <c r="F881" s="9" t="s">
        <v>1734</v>
      </c>
      <c r="G881" s="9" t="s">
        <v>983</v>
      </c>
      <c r="H881" s="9" t="s">
        <v>103</v>
      </c>
      <c r="I881" s="9" t="s">
        <v>984</v>
      </c>
      <c r="J881" s="15">
        <v>2758</v>
      </c>
      <c r="K881" s="15">
        <v>459.66</v>
      </c>
    </row>
    <row r="882" spans="1:11">
      <c r="A882" s="9">
        <f t="shared" si="13"/>
        <v>877</v>
      </c>
      <c r="B882" s="9" t="s">
        <v>1669</v>
      </c>
      <c r="C882" s="9" t="s">
        <v>53</v>
      </c>
      <c r="D882" s="9" t="s">
        <v>1749</v>
      </c>
      <c r="E882" s="9" t="s">
        <v>1734</v>
      </c>
      <c r="F882" s="9" t="s">
        <v>1734</v>
      </c>
      <c r="G882" s="9" t="s">
        <v>983</v>
      </c>
      <c r="H882" s="9" t="s">
        <v>103</v>
      </c>
      <c r="I882" s="9" t="s">
        <v>984</v>
      </c>
      <c r="J882" s="15">
        <v>1550</v>
      </c>
      <c r="K882" s="15">
        <v>258.33</v>
      </c>
    </row>
    <row r="883" spans="1:11">
      <c r="A883" s="9">
        <f t="shared" si="13"/>
        <v>878</v>
      </c>
      <c r="B883" s="9" t="s">
        <v>1669</v>
      </c>
      <c r="C883" s="9" t="s">
        <v>71</v>
      </c>
      <c r="D883" s="9" t="s">
        <v>1750</v>
      </c>
      <c r="E883" s="9" t="s">
        <v>1751</v>
      </c>
      <c r="F883" s="9" t="s">
        <v>36</v>
      </c>
      <c r="G883" s="9" t="s">
        <v>74</v>
      </c>
      <c r="H883" s="9" t="s">
        <v>75</v>
      </c>
      <c r="I883" s="9" t="s">
        <v>38</v>
      </c>
      <c r="J883" s="15">
        <v>900000</v>
      </c>
      <c r="K883" s="15">
        <v>150000</v>
      </c>
    </row>
    <row r="884" spans="1:11">
      <c r="A884" s="9">
        <f t="shared" si="13"/>
        <v>879</v>
      </c>
      <c r="B884" s="9" t="s">
        <v>1669</v>
      </c>
      <c r="C884" s="9" t="s">
        <v>53</v>
      </c>
      <c r="D884" s="9" t="s">
        <v>1752</v>
      </c>
      <c r="E884" s="9" t="s">
        <v>1753</v>
      </c>
      <c r="F884" s="9" t="s">
        <v>1753</v>
      </c>
      <c r="G884" s="9" t="s">
        <v>983</v>
      </c>
      <c r="H884" s="9" t="s">
        <v>103</v>
      </c>
      <c r="I884" s="9" t="s">
        <v>984</v>
      </c>
      <c r="J884" s="15">
        <v>3314</v>
      </c>
      <c r="K884" s="15">
        <v>552.34</v>
      </c>
    </row>
    <row r="885" spans="1:11">
      <c r="A885" s="9">
        <f t="shared" si="13"/>
        <v>880</v>
      </c>
      <c r="B885" s="9" t="s">
        <v>1669</v>
      </c>
      <c r="C885" s="9" t="s">
        <v>53</v>
      </c>
      <c r="D885" s="9" t="s">
        <v>1754</v>
      </c>
      <c r="E885" s="9" t="s">
        <v>1753</v>
      </c>
      <c r="F885" s="9" t="s">
        <v>1753</v>
      </c>
      <c r="G885" s="9" t="s">
        <v>650</v>
      </c>
      <c r="H885" s="9" t="s">
        <v>651</v>
      </c>
      <c r="I885" s="9" t="s">
        <v>652</v>
      </c>
      <c r="J885" s="15">
        <v>972619</v>
      </c>
      <c r="K885" s="15">
        <v>162103.17000000001</v>
      </c>
    </row>
    <row r="886" spans="1:11">
      <c r="A886" s="9">
        <f t="shared" si="13"/>
        <v>881</v>
      </c>
      <c r="B886" s="9" t="s">
        <v>1669</v>
      </c>
      <c r="C886" s="9" t="s">
        <v>71</v>
      </c>
      <c r="D886" s="9" t="s">
        <v>1400</v>
      </c>
      <c r="E886" s="9" t="s">
        <v>1398</v>
      </c>
      <c r="F886" s="9" t="s">
        <v>36</v>
      </c>
      <c r="G886" s="9" t="s">
        <v>74</v>
      </c>
      <c r="H886" s="9" t="s">
        <v>75</v>
      </c>
      <c r="I886" s="9" t="s">
        <v>38</v>
      </c>
      <c r="J886" s="15">
        <v>250000</v>
      </c>
      <c r="K886" s="15">
        <v>6843.67</v>
      </c>
    </row>
    <row r="887" spans="1:11" ht="30">
      <c r="A887" s="9">
        <f t="shared" si="13"/>
        <v>882</v>
      </c>
      <c r="B887" s="9" t="s">
        <v>1669</v>
      </c>
      <c r="C887" s="9" t="s">
        <v>53</v>
      </c>
      <c r="D887" s="9" t="s">
        <v>1755</v>
      </c>
      <c r="E887" s="9" t="s">
        <v>1756</v>
      </c>
      <c r="F887" s="9" t="s">
        <v>1756</v>
      </c>
      <c r="G887" s="9" t="s">
        <v>1757</v>
      </c>
      <c r="H887" s="9" t="s">
        <v>68</v>
      </c>
      <c r="I887" s="9" t="s">
        <v>1758</v>
      </c>
      <c r="J887" s="15">
        <v>11000</v>
      </c>
      <c r="K887" s="15">
        <v>1833.33</v>
      </c>
    </row>
    <row r="888" spans="1:11">
      <c r="A888" s="9">
        <f t="shared" si="13"/>
        <v>883</v>
      </c>
      <c r="B888" s="9" t="s">
        <v>1669</v>
      </c>
      <c r="C888" s="9" t="s">
        <v>53</v>
      </c>
      <c r="D888" s="9" t="s">
        <v>1759</v>
      </c>
      <c r="E888" s="9" t="s">
        <v>1760</v>
      </c>
      <c r="F888" s="9" t="s">
        <v>1760</v>
      </c>
      <c r="G888" s="9" t="s">
        <v>1368</v>
      </c>
      <c r="H888" s="9" t="s">
        <v>327</v>
      </c>
      <c r="I888" s="9" t="s">
        <v>1369</v>
      </c>
      <c r="J888" s="15">
        <v>140112</v>
      </c>
      <c r="K888" s="15">
        <v>23352</v>
      </c>
    </row>
    <row r="889" spans="1:11">
      <c r="A889" s="9">
        <f t="shared" si="13"/>
        <v>884</v>
      </c>
      <c r="B889" s="9" t="s">
        <v>1669</v>
      </c>
      <c r="C889" s="9" t="s">
        <v>53</v>
      </c>
      <c r="D889" s="9" t="s">
        <v>1761</v>
      </c>
      <c r="E889" s="9" t="s">
        <v>1762</v>
      </c>
      <c r="F889" s="9" t="s">
        <v>1762</v>
      </c>
      <c r="G889" s="9" t="s">
        <v>1763</v>
      </c>
      <c r="H889" s="9" t="s">
        <v>1764</v>
      </c>
      <c r="I889" s="9" t="s">
        <v>1765</v>
      </c>
      <c r="J889" s="15">
        <v>581612</v>
      </c>
      <c r="K889" s="15">
        <v>96935.34</v>
      </c>
    </row>
    <row r="890" spans="1:11">
      <c r="A890" s="9">
        <f t="shared" si="13"/>
        <v>885</v>
      </c>
      <c r="B890" s="9" t="s">
        <v>1669</v>
      </c>
      <c r="C890" s="9" t="s">
        <v>71</v>
      </c>
      <c r="D890" s="9" t="s">
        <v>1766</v>
      </c>
      <c r="E890" s="9" t="s">
        <v>1685</v>
      </c>
      <c r="F890" s="9" t="s">
        <v>36</v>
      </c>
      <c r="G890" s="9" t="s">
        <v>74</v>
      </c>
      <c r="H890" s="9" t="s">
        <v>75</v>
      </c>
      <c r="I890" s="9" t="s">
        <v>38</v>
      </c>
      <c r="J890" s="15">
        <v>30223</v>
      </c>
      <c r="K890" s="15">
        <v>5037.17</v>
      </c>
    </row>
    <row r="891" spans="1:11">
      <c r="A891" s="9">
        <f t="shared" si="13"/>
        <v>886</v>
      </c>
      <c r="B891" s="9" t="s">
        <v>1669</v>
      </c>
      <c r="C891" s="9" t="s">
        <v>53</v>
      </c>
      <c r="D891" s="9" t="s">
        <v>1767</v>
      </c>
      <c r="E891" s="9" t="s">
        <v>1768</v>
      </c>
      <c r="F891" s="9" t="s">
        <v>1768</v>
      </c>
      <c r="G891" s="9" t="s">
        <v>650</v>
      </c>
      <c r="H891" s="9" t="s">
        <v>651</v>
      </c>
      <c r="I891" s="9" t="s">
        <v>652</v>
      </c>
      <c r="J891" s="15">
        <v>969127</v>
      </c>
      <c r="K891" s="15">
        <v>161521.17000000001</v>
      </c>
    </row>
    <row r="892" spans="1:11">
      <c r="A892" s="9">
        <f t="shared" si="13"/>
        <v>887</v>
      </c>
      <c r="B892" s="9" t="s">
        <v>1669</v>
      </c>
      <c r="C892" s="9" t="s">
        <v>53</v>
      </c>
      <c r="D892" s="9" t="s">
        <v>1769</v>
      </c>
      <c r="E892" s="9" t="s">
        <v>1768</v>
      </c>
      <c r="F892" s="9" t="s">
        <v>1768</v>
      </c>
      <c r="G892" s="9" t="s">
        <v>983</v>
      </c>
      <c r="H892" s="9" t="s">
        <v>103</v>
      </c>
      <c r="I892" s="9" t="s">
        <v>984</v>
      </c>
      <c r="J892" s="15">
        <v>1785</v>
      </c>
      <c r="K892" s="15">
        <v>297.5</v>
      </c>
    </row>
    <row r="893" spans="1:11">
      <c r="A893" s="9">
        <f t="shared" si="13"/>
        <v>888</v>
      </c>
      <c r="B893" s="9" t="s">
        <v>1669</v>
      </c>
      <c r="C893" s="9" t="s">
        <v>53</v>
      </c>
      <c r="D893" s="9" t="s">
        <v>1770</v>
      </c>
      <c r="E893" s="9" t="s">
        <v>1768</v>
      </c>
      <c r="F893" s="9" t="s">
        <v>1768</v>
      </c>
      <c r="G893" s="9" t="s">
        <v>983</v>
      </c>
      <c r="H893" s="9" t="s">
        <v>103</v>
      </c>
      <c r="I893" s="9" t="s">
        <v>984</v>
      </c>
      <c r="J893" s="15">
        <v>2222</v>
      </c>
      <c r="K893" s="15">
        <v>370.33</v>
      </c>
    </row>
    <row r="894" spans="1:11">
      <c r="A894" s="9">
        <f t="shared" si="13"/>
        <v>889</v>
      </c>
      <c r="B894" s="9" t="s">
        <v>1669</v>
      </c>
      <c r="C894" s="9" t="s">
        <v>53</v>
      </c>
      <c r="D894" s="9" t="s">
        <v>1771</v>
      </c>
      <c r="E894" s="9" t="s">
        <v>1768</v>
      </c>
      <c r="F894" s="9" t="s">
        <v>1768</v>
      </c>
      <c r="G894" s="9" t="s">
        <v>1772</v>
      </c>
      <c r="H894" s="9" t="s">
        <v>778</v>
      </c>
      <c r="I894" s="9" t="s">
        <v>1773</v>
      </c>
      <c r="J894" s="15">
        <v>23000</v>
      </c>
      <c r="K894" s="15">
        <v>3833.33</v>
      </c>
    </row>
    <row r="895" spans="1:11">
      <c r="A895" s="9">
        <f t="shared" si="13"/>
        <v>890</v>
      </c>
      <c r="B895" s="9" t="s">
        <v>1669</v>
      </c>
      <c r="C895" s="9" t="s">
        <v>53</v>
      </c>
      <c r="D895" s="9" t="s">
        <v>1774</v>
      </c>
      <c r="E895" s="9" t="s">
        <v>1775</v>
      </c>
      <c r="F895" s="9" t="s">
        <v>1775</v>
      </c>
      <c r="G895" s="9" t="s">
        <v>313</v>
      </c>
      <c r="H895" s="9" t="s">
        <v>314</v>
      </c>
      <c r="I895" s="9" t="s">
        <v>315</v>
      </c>
      <c r="J895" s="15">
        <v>36000</v>
      </c>
      <c r="K895" s="15">
        <v>6000</v>
      </c>
    </row>
    <row r="896" spans="1:11">
      <c r="A896" s="9">
        <f t="shared" si="13"/>
        <v>891</v>
      </c>
      <c r="B896" s="9" t="s">
        <v>1669</v>
      </c>
      <c r="C896" s="9" t="s">
        <v>53</v>
      </c>
      <c r="D896" s="9" t="s">
        <v>1776</v>
      </c>
      <c r="E896" s="9" t="s">
        <v>1775</v>
      </c>
      <c r="F896" s="9" t="s">
        <v>1775</v>
      </c>
      <c r="G896" s="9" t="s">
        <v>1763</v>
      </c>
      <c r="H896" s="9" t="s">
        <v>1764</v>
      </c>
      <c r="I896" s="9" t="s">
        <v>1765</v>
      </c>
      <c r="J896" s="15">
        <v>339360</v>
      </c>
      <c r="K896" s="15">
        <v>56560</v>
      </c>
    </row>
    <row r="897" spans="1:11">
      <c r="A897" s="9">
        <f t="shared" si="13"/>
        <v>892</v>
      </c>
      <c r="B897" s="9" t="s">
        <v>1669</v>
      </c>
      <c r="C897" s="9" t="s">
        <v>71</v>
      </c>
      <c r="D897" s="9" t="s">
        <v>1777</v>
      </c>
      <c r="E897" s="9" t="s">
        <v>1685</v>
      </c>
      <c r="F897" s="9" t="s">
        <v>36</v>
      </c>
      <c r="G897" s="9" t="s">
        <v>74</v>
      </c>
      <c r="H897" s="9" t="s">
        <v>75</v>
      </c>
      <c r="I897" s="9" t="s">
        <v>38</v>
      </c>
      <c r="J897" s="15">
        <v>669777</v>
      </c>
      <c r="K897" s="15">
        <v>111629.5</v>
      </c>
    </row>
    <row r="898" spans="1:11">
      <c r="A898" s="9">
        <f t="shared" si="13"/>
        <v>893</v>
      </c>
      <c r="B898" s="9" t="s">
        <v>1669</v>
      </c>
      <c r="C898" s="9" t="s">
        <v>122</v>
      </c>
      <c r="D898" s="9" t="s">
        <v>148</v>
      </c>
      <c r="E898" s="9" t="s">
        <v>1656</v>
      </c>
      <c r="F898" s="9" t="s">
        <v>1778</v>
      </c>
      <c r="G898" s="9" t="s">
        <v>74</v>
      </c>
      <c r="H898" s="9" t="s">
        <v>75</v>
      </c>
      <c r="I898" s="9" t="s">
        <v>38</v>
      </c>
      <c r="J898" s="15">
        <v>103032</v>
      </c>
      <c r="K898" s="15">
        <v>17172</v>
      </c>
    </row>
    <row r="899" spans="1:11">
      <c r="A899" s="9">
        <f t="shared" si="13"/>
        <v>894</v>
      </c>
      <c r="B899" s="9" t="s">
        <v>1669</v>
      </c>
      <c r="C899" s="9" t="s">
        <v>53</v>
      </c>
      <c r="D899" s="9" t="s">
        <v>1779</v>
      </c>
      <c r="E899" s="9" t="s">
        <v>1778</v>
      </c>
      <c r="F899" s="9" t="s">
        <v>1778</v>
      </c>
      <c r="G899" s="9" t="s">
        <v>299</v>
      </c>
      <c r="H899" s="9" t="s">
        <v>300</v>
      </c>
      <c r="I899" s="9" t="s">
        <v>301</v>
      </c>
      <c r="J899" s="15">
        <v>270192</v>
      </c>
      <c r="K899" s="15">
        <v>45032</v>
      </c>
    </row>
    <row r="900" spans="1:11">
      <c r="A900" s="9">
        <f t="shared" si="13"/>
        <v>895</v>
      </c>
      <c r="B900" s="9" t="s">
        <v>1669</v>
      </c>
      <c r="C900" s="9" t="s">
        <v>53</v>
      </c>
      <c r="D900" s="9" t="s">
        <v>1780</v>
      </c>
      <c r="E900" s="9" t="s">
        <v>1778</v>
      </c>
      <c r="F900" s="9" t="s">
        <v>1778</v>
      </c>
      <c r="G900" s="9" t="s">
        <v>1781</v>
      </c>
      <c r="H900" s="9" t="s">
        <v>75</v>
      </c>
      <c r="I900" s="9" t="s">
        <v>1782</v>
      </c>
      <c r="J900" s="15">
        <v>82380</v>
      </c>
      <c r="K900" s="15">
        <v>13730</v>
      </c>
    </row>
    <row r="901" spans="1:11">
      <c r="A901" s="9">
        <f t="shared" si="13"/>
        <v>896</v>
      </c>
      <c r="B901" s="9" t="s">
        <v>1669</v>
      </c>
      <c r="C901" s="9" t="s">
        <v>53</v>
      </c>
      <c r="D901" s="9" t="s">
        <v>1783</v>
      </c>
      <c r="E901" s="9" t="s">
        <v>1784</v>
      </c>
      <c r="F901" s="9" t="s">
        <v>1784</v>
      </c>
      <c r="G901" s="9" t="s">
        <v>1185</v>
      </c>
      <c r="H901" s="9" t="s">
        <v>75</v>
      </c>
      <c r="I901" s="9" t="s">
        <v>1186</v>
      </c>
      <c r="J901" s="15">
        <v>47802.39</v>
      </c>
      <c r="K901" s="15">
        <v>7967.07</v>
      </c>
    </row>
    <row r="902" spans="1:11">
      <c r="A902" s="9">
        <f t="shared" si="13"/>
        <v>897</v>
      </c>
      <c r="B902" s="9" t="s">
        <v>1669</v>
      </c>
      <c r="C902" s="9" t="s">
        <v>53</v>
      </c>
      <c r="D902" s="9" t="s">
        <v>1785</v>
      </c>
      <c r="E902" s="9" t="s">
        <v>1784</v>
      </c>
      <c r="F902" s="9" t="s">
        <v>1784</v>
      </c>
      <c r="G902" s="9" t="s">
        <v>102</v>
      </c>
      <c r="H902" s="9" t="s">
        <v>103</v>
      </c>
      <c r="I902" s="9" t="s">
        <v>104</v>
      </c>
      <c r="J902" s="15">
        <v>3600</v>
      </c>
      <c r="K902" s="15">
        <v>600</v>
      </c>
    </row>
    <row r="903" spans="1:11">
      <c r="A903" s="9">
        <f t="shared" ref="A903:A966" si="14">A902+1</f>
        <v>898</v>
      </c>
      <c r="B903" s="9" t="s">
        <v>1669</v>
      </c>
      <c r="C903" s="9" t="s">
        <v>53</v>
      </c>
      <c r="D903" s="9" t="s">
        <v>1786</v>
      </c>
      <c r="E903" s="9" t="s">
        <v>1784</v>
      </c>
      <c r="F903" s="9" t="s">
        <v>1784</v>
      </c>
      <c r="G903" s="9" t="s">
        <v>102</v>
      </c>
      <c r="H903" s="9" t="s">
        <v>103</v>
      </c>
      <c r="I903" s="9" t="s">
        <v>104</v>
      </c>
      <c r="J903" s="15">
        <v>5538</v>
      </c>
      <c r="K903" s="15">
        <v>923</v>
      </c>
    </row>
    <row r="904" spans="1:11">
      <c r="A904" s="9">
        <f t="shared" si="14"/>
        <v>899</v>
      </c>
      <c r="B904" s="9" t="s">
        <v>1669</v>
      </c>
      <c r="C904" s="9" t="s">
        <v>53</v>
      </c>
      <c r="D904" s="9" t="s">
        <v>1787</v>
      </c>
      <c r="E904" s="9" t="s">
        <v>1784</v>
      </c>
      <c r="F904" s="9" t="s">
        <v>1784</v>
      </c>
      <c r="G904" s="9" t="s">
        <v>102</v>
      </c>
      <c r="H904" s="9" t="s">
        <v>103</v>
      </c>
      <c r="I904" s="9" t="s">
        <v>104</v>
      </c>
      <c r="J904" s="15">
        <v>1580</v>
      </c>
      <c r="K904" s="15">
        <v>263.33</v>
      </c>
    </row>
    <row r="905" spans="1:11">
      <c r="A905" s="9">
        <f t="shared" si="14"/>
        <v>900</v>
      </c>
      <c r="B905" s="9" t="s">
        <v>1669</v>
      </c>
      <c r="C905" s="9" t="s">
        <v>53</v>
      </c>
      <c r="D905" s="9" t="s">
        <v>1788</v>
      </c>
      <c r="E905" s="9" t="s">
        <v>1789</v>
      </c>
      <c r="F905" s="9" t="s">
        <v>1789</v>
      </c>
      <c r="G905" s="9" t="s">
        <v>650</v>
      </c>
      <c r="H905" s="9" t="s">
        <v>651</v>
      </c>
      <c r="I905" s="9" t="s">
        <v>652</v>
      </c>
      <c r="J905" s="15">
        <v>976596</v>
      </c>
      <c r="K905" s="15">
        <v>162766</v>
      </c>
    </row>
    <row r="906" spans="1:11">
      <c r="A906" s="9">
        <f t="shared" si="14"/>
        <v>901</v>
      </c>
      <c r="B906" s="9" t="s">
        <v>1669</v>
      </c>
      <c r="C906" s="9" t="s">
        <v>71</v>
      </c>
      <c r="D906" s="9" t="s">
        <v>1790</v>
      </c>
      <c r="E906" s="9" t="s">
        <v>1711</v>
      </c>
      <c r="F906" s="9" t="s">
        <v>36</v>
      </c>
      <c r="G906" s="9" t="s">
        <v>74</v>
      </c>
      <c r="H906" s="9" t="s">
        <v>75</v>
      </c>
      <c r="I906" s="9" t="s">
        <v>38</v>
      </c>
      <c r="J906" s="15">
        <v>480000</v>
      </c>
      <c r="K906" s="15">
        <v>80000</v>
      </c>
    </row>
    <row r="907" spans="1:11">
      <c r="A907" s="9">
        <f t="shared" si="14"/>
        <v>902</v>
      </c>
      <c r="B907" s="9" t="s">
        <v>1669</v>
      </c>
      <c r="C907" s="9" t="s">
        <v>71</v>
      </c>
      <c r="D907" s="9" t="s">
        <v>1791</v>
      </c>
      <c r="E907" s="9" t="s">
        <v>1792</v>
      </c>
      <c r="F907" s="9" t="s">
        <v>36</v>
      </c>
      <c r="G907" s="9" t="s">
        <v>74</v>
      </c>
      <c r="H907" s="9" t="s">
        <v>75</v>
      </c>
      <c r="I907" s="9" t="s">
        <v>38</v>
      </c>
      <c r="J907" s="15">
        <v>395000</v>
      </c>
      <c r="K907" s="15">
        <v>65833.33</v>
      </c>
    </row>
    <row r="908" spans="1:11">
      <c r="A908" s="9">
        <f t="shared" si="14"/>
        <v>903</v>
      </c>
      <c r="B908" s="9" t="s">
        <v>1669</v>
      </c>
      <c r="C908" s="9" t="s">
        <v>53</v>
      </c>
      <c r="D908" s="9" t="s">
        <v>1793</v>
      </c>
      <c r="E908" s="9" t="s">
        <v>1794</v>
      </c>
      <c r="F908" s="9" t="s">
        <v>1794</v>
      </c>
      <c r="G908" s="9" t="s">
        <v>1368</v>
      </c>
      <c r="H908" s="9" t="s">
        <v>327</v>
      </c>
      <c r="I908" s="9" t="s">
        <v>1369</v>
      </c>
      <c r="J908" s="15">
        <v>344760</v>
      </c>
      <c r="K908" s="15">
        <v>57460</v>
      </c>
    </row>
    <row r="909" spans="1:11">
      <c r="A909" s="9">
        <f t="shared" si="14"/>
        <v>904</v>
      </c>
      <c r="B909" s="9" t="s">
        <v>1669</v>
      </c>
      <c r="C909" s="9" t="s">
        <v>53</v>
      </c>
      <c r="D909" s="9" t="s">
        <v>1795</v>
      </c>
      <c r="E909" s="9" t="s">
        <v>1794</v>
      </c>
      <c r="F909" s="9" t="s">
        <v>1794</v>
      </c>
      <c r="G909" s="9" t="s">
        <v>1796</v>
      </c>
      <c r="H909" s="9" t="s">
        <v>1602</v>
      </c>
      <c r="I909" s="9" t="s">
        <v>1797</v>
      </c>
      <c r="J909" s="15">
        <v>1109400</v>
      </c>
      <c r="K909" s="15">
        <v>184900</v>
      </c>
    </row>
    <row r="910" spans="1:11">
      <c r="A910" s="9">
        <f t="shared" si="14"/>
        <v>905</v>
      </c>
      <c r="B910" s="9" t="s">
        <v>1669</v>
      </c>
      <c r="C910" s="9" t="s">
        <v>53</v>
      </c>
      <c r="D910" s="9" t="s">
        <v>1798</v>
      </c>
      <c r="E910" s="9" t="s">
        <v>1799</v>
      </c>
      <c r="F910" s="9" t="s">
        <v>1799</v>
      </c>
      <c r="G910" s="9" t="s">
        <v>1763</v>
      </c>
      <c r="H910" s="9" t="s">
        <v>1764</v>
      </c>
      <c r="I910" s="9" t="s">
        <v>1765</v>
      </c>
      <c r="J910" s="15">
        <v>459088</v>
      </c>
      <c r="K910" s="15">
        <v>76514.67</v>
      </c>
    </row>
    <row r="911" spans="1:11">
      <c r="A911" s="9">
        <f t="shared" si="14"/>
        <v>906</v>
      </c>
      <c r="B911" s="9" t="s">
        <v>1669</v>
      </c>
      <c r="C911" s="9" t="s">
        <v>53</v>
      </c>
      <c r="D911" s="9" t="s">
        <v>1800</v>
      </c>
      <c r="E911" s="9" t="s">
        <v>1799</v>
      </c>
      <c r="F911" s="9" t="s">
        <v>1799</v>
      </c>
      <c r="G911" s="9" t="s">
        <v>983</v>
      </c>
      <c r="H911" s="9" t="s">
        <v>103</v>
      </c>
      <c r="I911" s="9" t="s">
        <v>984</v>
      </c>
      <c r="J911" s="15">
        <v>2049</v>
      </c>
      <c r="K911" s="15">
        <v>341.5</v>
      </c>
    </row>
    <row r="912" spans="1:11">
      <c r="A912" s="9">
        <f t="shared" si="14"/>
        <v>907</v>
      </c>
      <c r="B912" s="9" t="s">
        <v>1669</v>
      </c>
      <c r="C912" s="9" t="s">
        <v>71</v>
      </c>
      <c r="D912" s="9" t="s">
        <v>1801</v>
      </c>
      <c r="E912" s="9" t="s">
        <v>1709</v>
      </c>
      <c r="F912" s="9" t="s">
        <v>36</v>
      </c>
      <c r="G912" s="9" t="s">
        <v>74</v>
      </c>
      <c r="H912" s="9" t="s">
        <v>75</v>
      </c>
      <c r="I912" s="9" t="s">
        <v>38</v>
      </c>
      <c r="J912" s="15">
        <v>900000</v>
      </c>
      <c r="K912" s="15">
        <v>150000</v>
      </c>
    </row>
    <row r="913" spans="1:11">
      <c r="A913" s="9">
        <f t="shared" si="14"/>
        <v>908</v>
      </c>
      <c r="B913" s="9" t="s">
        <v>1669</v>
      </c>
      <c r="C913" s="9" t="s">
        <v>71</v>
      </c>
      <c r="D913" s="9" t="s">
        <v>1802</v>
      </c>
      <c r="E913" s="9" t="s">
        <v>1803</v>
      </c>
      <c r="F913" s="9" t="s">
        <v>36</v>
      </c>
      <c r="G913" s="9" t="s">
        <v>74</v>
      </c>
      <c r="H913" s="9" t="s">
        <v>75</v>
      </c>
      <c r="I913" s="9" t="s">
        <v>38</v>
      </c>
      <c r="J913" s="15">
        <v>393280</v>
      </c>
      <c r="K913" s="15">
        <v>65546.67</v>
      </c>
    </row>
    <row r="914" spans="1:11">
      <c r="A914" s="9">
        <f t="shared" si="14"/>
        <v>909</v>
      </c>
      <c r="B914" s="9" t="s">
        <v>1669</v>
      </c>
      <c r="C914" s="9" t="s">
        <v>53</v>
      </c>
      <c r="D914" s="9" t="s">
        <v>1804</v>
      </c>
      <c r="E914" s="9" t="s">
        <v>1805</v>
      </c>
      <c r="F914" s="9" t="s">
        <v>1805</v>
      </c>
      <c r="G914" s="9" t="s">
        <v>162</v>
      </c>
      <c r="H914" s="9" t="s">
        <v>163</v>
      </c>
      <c r="I914" s="9" t="s">
        <v>164</v>
      </c>
      <c r="J914" s="15">
        <v>18600</v>
      </c>
      <c r="K914" s="15">
        <v>3100</v>
      </c>
    </row>
    <row r="915" spans="1:11">
      <c r="A915" s="9">
        <f t="shared" si="14"/>
        <v>910</v>
      </c>
      <c r="B915" s="9" t="s">
        <v>1669</v>
      </c>
      <c r="C915" s="9" t="s">
        <v>53</v>
      </c>
      <c r="D915" s="9" t="s">
        <v>1806</v>
      </c>
      <c r="E915" s="9" t="s">
        <v>1807</v>
      </c>
      <c r="F915" s="9" t="s">
        <v>1807</v>
      </c>
      <c r="G915" s="9" t="s">
        <v>83</v>
      </c>
      <c r="H915" s="9" t="s">
        <v>84</v>
      </c>
      <c r="I915" s="9" t="s">
        <v>85</v>
      </c>
      <c r="J915" s="15">
        <v>1050</v>
      </c>
      <c r="K915" s="15">
        <v>175</v>
      </c>
    </row>
    <row r="916" spans="1:11">
      <c r="A916" s="9">
        <f t="shared" si="14"/>
        <v>911</v>
      </c>
      <c r="B916" s="9" t="s">
        <v>1669</v>
      </c>
      <c r="C916" s="9" t="s">
        <v>53</v>
      </c>
      <c r="D916" s="9" t="s">
        <v>1808</v>
      </c>
      <c r="E916" s="9" t="s">
        <v>1809</v>
      </c>
      <c r="F916" s="9" t="s">
        <v>1809</v>
      </c>
      <c r="G916" s="9" t="s">
        <v>318</v>
      </c>
      <c r="H916" s="9" t="s">
        <v>864</v>
      </c>
      <c r="I916" s="9" t="s">
        <v>320</v>
      </c>
      <c r="J916" s="15">
        <v>1011</v>
      </c>
      <c r="K916" s="15">
        <v>134.66999999999999</v>
      </c>
    </row>
    <row r="917" spans="1:11">
      <c r="A917" s="9">
        <f t="shared" si="14"/>
        <v>912</v>
      </c>
      <c r="B917" s="9" t="s">
        <v>1669</v>
      </c>
      <c r="C917" s="9" t="s">
        <v>53</v>
      </c>
      <c r="D917" s="9" t="s">
        <v>1810</v>
      </c>
      <c r="E917" s="9" t="s">
        <v>1809</v>
      </c>
      <c r="F917" s="9" t="s">
        <v>1809</v>
      </c>
      <c r="G917" s="9" t="s">
        <v>650</v>
      </c>
      <c r="H917" s="9" t="s">
        <v>651</v>
      </c>
      <c r="I917" s="9" t="s">
        <v>652</v>
      </c>
      <c r="J917" s="15">
        <v>1357980</v>
      </c>
      <c r="K917" s="15">
        <v>226330</v>
      </c>
    </row>
    <row r="918" spans="1:11">
      <c r="A918" s="9">
        <f t="shared" si="14"/>
        <v>913</v>
      </c>
      <c r="B918" s="9" t="s">
        <v>1669</v>
      </c>
      <c r="C918" s="9" t="s">
        <v>53</v>
      </c>
      <c r="D918" s="9" t="s">
        <v>1811</v>
      </c>
      <c r="E918" s="9" t="s">
        <v>1809</v>
      </c>
      <c r="F918" s="9" t="s">
        <v>1809</v>
      </c>
      <c r="G918" s="9" t="s">
        <v>1226</v>
      </c>
      <c r="H918" s="9" t="s">
        <v>222</v>
      </c>
      <c r="I918" s="9" t="s">
        <v>1227</v>
      </c>
      <c r="J918" s="15">
        <v>10650</v>
      </c>
      <c r="K918" s="15">
        <v>1775</v>
      </c>
    </row>
    <row r="919" spans="1:11">
      <c r="A919" s="9">
        <f t="shared" si="14"/>
        <v>914</v>
      </c>
      <c r="B919" s="9" t="s">
        <v>1669</v>
      </c>
      <c r="C919" s="9" t="s">
        <v>53</v>
      </c>
      <c r="D919" s="9" t="s">
        <v>1812</v>
      </c>
      <c r="E919" s="9" t="s">
        <v>1813</v>
      </c>
      <c r="F919" s="9" t="s">
        <v>1813</v>
      </c>
      <c r="G919" s="9" t="s">
        <v>1290</v>
      </c>
      <c r="H919" s="9" t="s">
        <v>1291</v>
      </c>
      <c r="I919" s="9" t="s">
        <v>1292</v>
      </c>
      <c r="J919" s="15">
        <v>94838</v>
      </c>
      <c r="K919" s="15">
        <v>15806.33</v>
      </c>
    </row>
    <row r="920" spans="1:11">
      <c r="A920" s="9">
        <f t="shared" si="14"/>
        <v>915</v>
      </c>
      <c r="B920" s="9" t="s">
        <v>1669</v>
      </c>
      <c r="C920" s="9" t="s">
        <v>53</v>
      </c>
      <c r="D920" s="9" t="s">
        <v>1814</v>
      </c>
      <c r="E920" s="9" t="s">
        <v>1813</v>
      </c>
      <c r="F920" s="9" t="s">
        <v>1813</v>
      </c>
      <c r="G920" s="9" t="s">
        <v>1185</v>
      </c>
      <c r="H920" s="9" t="s">
        <v>75</v>
      </c>
      <c r="I920" s="9" t="s">
        <v>1186</v>
      </c>
      <c r="J920" s="15">
        <v>167534.26999999999</v>
      </c>
      <c r="K920" s="15">
        <v>27922.38</v>
      </c>
    </row>
    <row r="921" spans="1:11">
      <c r="A921" s="9">
        <f t="shared" si="14"/>
        <v>916</v>
      </c>
      <c r="B921" s="9" t="s">
        <v>1669</v>
      </c>
      <c r="C921" s="9" t="s">
        <v>53</v>
      </c>
      <c r="D921" s="9" t="s">
        <v>1815</v>
      </c>
      <c r="E921" s="9" t="s">
        <v>1813</v>
      </c>
      <c r="F921" s="9" t="s">
        <v>1813</v>
      </c>
      <c r="G921" s="9" t="s">
        <v>1185</v>
      </c>
      <c r="H921" s="9" t="s">
        <v>75</v>
      </c>
      <c r="I921" s="9" t="s">
        <v>1186</v>
      </c>
      <c r="J921" s="15">
        <v>3000</v>
      </c>
      <c r="K921" s="15">
        <v>500</v>
      </c>
    </row>
    <row r="922" spans="1:11">
      <c r="A922" s="9">
        <f t="shared" si="14"/>
        <v>917</v>
      </c>
      <c r="B922" s="9" t="s">
        <v>1669</v>
      </c>
      <c r="C922" s="9" t="s">
        <v>53</v>
      </c>
      <c r="D922" s="9" t="s">
        <v>1816</v>
      </c>
      <c r="E922" s="9" t="s">
        <v>1813</v>
      </c>
      <c r="F922" s="9" t="s">
        <v>1813</v>
      </c>
      <c r="G922" s="9" t="s">
        <v>1185</v>
      </c>
      <c r="H922" s="9" t="s">
        <v>75</v>
      </c>
      <c r="I922" s="9" t="s">
        <v>1186</v>
      </c>
      <c r="J922" s="15">
        <v>30000</v>
      </c>
      <c r="K922" s="15">
        <v>5000</v>
      </c>
    </row>
    <row r="923" spans="1:11">
      <c r="A923" s="9">
        <f t="shared" si="14"/>
        <v>918</v>
      </c>
      <c r="B923" s="9" t="s">
        <v>1669</v>
      </c>
      <c r="C923" s="9" t="s">
        <v>53</v>
      </c>
      <c r="D923" s="9" t="s">
        <v>1817</v>
      </c>
      <c r="E923" s="9" t="s">
        <v>1813</v>
      </c>
      <c r="F923" s="9" t="s">
        <v>1813</v>
      </c>
      <c r="G923" s="9" t="s">
        <v>1382</v>
      </c>
      <c r="H923" s="9" t="s">
        <v>1383</v>
      </c>
      <c r="I923" s="9" t="s">
        <v>1384</v>
      </c>
      <c r="J923" s="15">
        <v>597</v>
      </c>
      <c r="K923" s="15">
        <v>99.5</v>
      </c>
    </row>
    <row r="924" spans="1:11">
      <c r="A924" s="9">
        <f t="shared" si="14"/>
        <v>919</v>
      </c>
      <c r="B924" s="9" t="s">
        <v>1669</v>
      </c>
      <c r="C924" s="9" t="s">
        <v>53</v>
      </c>
      <c r="D924" s="9" t="s">
        <v>1818</v>
      </c>
      <c r="E924" s="9" t="s">
        <v>1813</v>
      </c>
      <c r="F924" s="9" t="s">
        <v>1813</v>
      </c>
      <c r="G924" s="9" t="s">
        <v>1382</v>
      </c>
      <c r="H924" s="9" t="s">
        <v>1383</v>
      </c>
      <c r="I924" s="9" t="s">
        <v>1384</v>
      </c>
      <c r="J924" s="15">
        <v>31</v>
      </c>
      <c r="K924" s="15">
        <v>5.17</v>
      </c>
    </row>
    <row r="925" spans="1:11">
      <c r="A925" s="9">
        <f t="shared" si="14"/>
        <v>920</v>
      </c>
      <c r="B925" s="9" t="s">
        <v>1669</v>
      </c>
      <c r="C925" s="9" t="s">
        <v>53</v>
      </c>
      <c r="D925" s="9" t="s">
        <v>1819</v>
      </c>
      <c r="E925" s="9" t="s">
        <v>1820</v>
      </c>
      <c r="F925" s="9" t="s">
        <v>1820</v>
      </c>
      <c r="G925" s="9" t="s">
        <v>299</v>
      </c>
      <c r="H925" s="9" t="s">
        <v>300</v>
      </c>
      <c r="I925" s="9" t="s">
        <v>301</v>
      </c>
      <c r="J925" s="15">
        <v>257580</v>
      </c>
      <c r="K925" s="15">
        <v>42930</v>
      </c>
    </row>
    <row r="926" spans="1:11">
      <c r="A926" s="9">
        <f t="shared" si="14"/>
        <v>921</v>
      </c>
      <c r="B926" s="9" t="s">
        <v>1669</v>
      </c>
      <c r="C926" s="9" t="s">
        <v>53</v>
      </c>
      <c r="D926" s="9" t="s">
        <v>1821</v>
      </c>
      <c r="E926" s="9" t="s">
        <v>1822</v>
      </c>
      <c r="F926" s="9" t="s">
        <v>1822</v>
      </c>
      <c r="G926" s="9" t="s">
        <v>102</v>
      </c>
      <c r="H926" s="9" t="s">
        <v>103</v>
      </c>
      <c r="I926" s="9" t="s">
        <v>104</v>
      </c>
      <c r="J926" s="15">
        <v>3600</v>
      </c>
      <c r="K926" s="15">
        <v>600</v>
      </c>
    </row>
    <row r="927" spans="1:11">
      <c r="A927" s="9">
        <f t="shared" si="14"/>
        <v>922</v>
      </c>
      <c r="B927" s="9" t="s">
        <v>1669</v>
      </c>
      <c r="C927" s="9" t="s">
        <v>53</v>
      </c>
      <c r="D927" s="9" t="s">
        <v>1823</v>
      </c>
      <c r="E927" s="9" t="s">
        <v>1824</v>
      </c>
      <c r="F927" s="9" t="s">
        <v>1824</v>
      </c>
      <c r="G927" s="9" t="s">
        <v>83</v>
      </c>
      <c r="H927" s="9" t="s">
        <v>84</v>
      </c>
      <c r="I927" s="9" t="s">
        <v>85</v>
      </c>
      <c r="J927" s="15">
        <v>1140</v>
      </c>
      <c r="K927" s="15">
        <v>190</v>
      </c>
    </row>
    <row r="928" spans="1:11">
      <c r="A928" s="9">
        <f t="shared" si="14"/>
        <v>923</v>
      </c>
      <c r="B928" s="9" t="s">
        <v>1669</v>
      </c>
      <c r="C928" s="9" t="s">
        <v>53</v>
      </c>
      <c r="D928" s="9" t="s">
        <v>1825</v>
      </c>
      <c r="E928" s="9" t="s">
        <v>1826</v>
      </c>
      <c r="F928" s="9" t="s">
        <v>1826</v>
      </c>
      <c r="G928" s="9" t="s">
        <v>956</v>
      </c>
      <c r="H928" s="9" t="s">
        <v>103</v>
      </c>
      <c r="I928" s="9" t="s">
        <v>957</v>
      </c>
      <c r="J928" s="15">
        <v>2447</v>
      </c>
      <c r="K928" s="15">
        <v>407.83</v>
      </c>
    </row>
    <row r="929" spans="1:11">
      <c r="A929" s="9">
        <f t="shared" si="14"/>
        <v>924</v>
      </c>
      <c r="B929" s="9" t="s">
        <v>1669</v>
      </c>
      <c r="C929" s="9" t="s">
        <v>71</v>
      </c>
      <c r="D929" s="9" t="s">
        <v>1827</v>
      </c>
      <c r="E929" s="9" t="s">
        <v>1756</v>
      </c>
      <c r="F929" s="9" t="s">
        <v>36</v>
      </c>
      <c r="G929" s="9" t="s">
        <v>74</v>
      </c>
      <c r="H929" s="9" t="s">
        <v>75</v>
      </c>
      <c r="I929" s="9" t="s">
        <v>38</v>
      </c>
      <c r="J929" s="15">
        <v>574000</v>
      </c>
      <c r="K929" s="15">
        <v>95666.67</v>
      </c>
    </row>
    <row r="930" spans="1:11">
      <c r="A930" s="9">
        <f t="shared" si="14"/>
        <v>925</v>
      </c>
      <c r="B930" s="9" t="s">
        <v>1669</v>
      </c>
      <c r="C930" s="9" t="s">
        <v>71</v>
      </c>
      <c r="D930" s="9" t="s">
        <v>1828</v>
      </c>
      <c r="E930" s="9" t="s">
        <v>1799</v>
      </c>
      <c r="F930" s="9" t="s">
        <v>36</v>
      </c>
      <c r="G930" s="9" t="s">
        <v>74</v>
      </c>
      <c r="H930" s="9" t="s">
        <v>75</v>
      </c>
      <c r="I930" s="9" t="s">
        <v>38</v>
      </c>
      <c r="J930" s="15">
        <v>350000</v>
      </c>
      <c r="K930" s="15">
        <v>58333.33</v>
      </c>
    </row>
    <row r="931" spans="1:11">
      <c r="A931" s="9">
        <f t="shared" si="14"/>
        <v>926</v>
      </c>
      <c r="B931" s="9" t="s">
        <v>1669</v>
      </c>
      <c r="C931" s="9" t="s">
        <v>71</v>
      </c>
      <c r="D931" s="9" t="s">
        <v>1829</v>
      </c>
      <c r="E931" s="9" t="s">
        <v>1830</v>
      </c>
      <c r="F931" s="9" t="s">
        <v>36</v>
      </c>
      <c r="G931" s="9" t="s">
        <v>74</v>
      </c>
      <c r="H931" s="9" t="s">
        <v>75</v>
      </c>
      <c r="I931" s="9" t="s">
        <v>38</v>
      </c>
      <c r="J931" s="15">
        <v>200000</v>
      </c>
      <c r="K931" s="15">
        <v>33333.33</v>
      </c>
    </row>
    <row r="932" spans="1:11">
      <c r="A932" s="9">
        <f t="shared" si="14"/>
        <v>927</v>
      </c>
      <c r="B932" s="9" t="s">
        <v>1669</v>
      </c>
      <c r="C932" s="9" t="s">
        <v>71</v>
      </c>
      <c r="D932" s="9" t="s">
        <v>1831</v>
      </c>
      <c r="E932" s="9" t="s">
        <v>1830</v>
      </c>
      <c r="F932" s="9" t="s">
        <v>36</v>
      </c>
      <c r="G932" s="9" t="s">
        <v>74</v>
      </c>
      <c r="H932" s="9" t="s">
        <v>75</v>
      </c>
      <c r="I932" s="9" t="s">
        <v>38</v>
      </c>
      <c r="J932" s="15">
        <v>100000</v>
      </c>
      <c r="K932" s="15">
        <v>16666.669999999998</v>
      </c>
    </row>
    <row r="933" spans="1:11">
      <c r="A933" s="9">
        <f t="shared" si="14"/>
        <v>928</v>
      </c>
      <c r="B933" s="9" t="s">
        <v>1669</v>
      </c>
      <c r="C933" s="9" t="s">
        <v>53</v>
      </c>
      <c r="D933" s="9" t="s">
        <v>1832</v>
      </c>
      <c r="E933" s="9" t="s">
        <v>1833</v>
      </c>
      <c r="F933" s="9" t="s">
        <v>1833</v>
      </c>
      <c r="G933" s="9" t="s">
        <v>1834</v>
      </c>
      <c r="H933" s="9" t="s">
        <v>75</v>
      </c>
      <c r="I933" s="9" t="s">
        <v>1835</v>
      </c>
      <c r="J933" s="15">
        <v>18000</v>
      </c>
      <c r="K933" s="15">
        <v>3000</v>
      </c>
    </row>
    <row r="934" spans="1:11">
      <c r="A934" s="9">
        <f t="shared" si="14"/>
        <v>929</v>
      </c>
      <c r="B934" s="9" t="s">
        <v>1669</v>
      </c>
      <c r="C934" s="9" t="s">
        <v>53</v>
      </c>
      <c r="D934" s="9" t="s">
        <v>1836</v>
      </c>
      <c r="E934" s="9" t="s">
        <v>1837</v>
      </c>
      <c r="F934" s="9" t="s">
        <v>1837</v>
      </c>
      <c r="G934" s="9" t="s">
        <v>299</v>
      </c>
      <c r="H934" s="9" t="s">
        <v>300</v>
      </c>
      <c r="I934" s="9" t="s">
        <v>301</v>
      </c>
      <c r="J934" s="15">
        <v>210080</v>
      </c>
      <c r="K934" s="15">
        <v>35013.33</v>
      </c>
    </row>
    <row r="935" spans="1:11">
      <c r="A935" s="9">
        <f t="shared" si="14"/>
        <v>930</v>
      </c>
      <c r="B935" s="9" t="s">
        <v>1669</v>
      </c>
      <c r="C935" s="9" t="s">
        <v>53</v>
      </c>
      <c r="D935" s="9" t="s">
        <v>1838</v>
      </c>
      <c r="E935" s="9" t="s">
        <v>1839</v>
      </c>
      <c r="F935" s="9" t="s">
        <v>1839</v>
      </c>
      <c r="G935" s="9" t="s">
        <v>1185</v>
      </c>
      <c r="H935" s="9" t="s">
        <v>75</v>
      </c>
      <c r="I935" s="9" t="s">
        <v>1186</v>
      </c>
      <c r="J935" s="15">
        <v>48551.4</v>
      </c>
      <c r="K935" s="15">
        <v>8091.9</v>
      </c>
    </row>
    <row r="936" spans="1:11">
      <c r="A936" s="9">
        <f t="shared" si="14"/>
        <v>931</v>
      </c>
      <c r="B936" s="9" t="s">
        <v>1669</v>
      </c>
      <c r="C936" s="9" t="s">
        <v>53</v>
      </c>
      <c r="D936" s="9" t="s">
        <v>1840</v>
      </c>
      <c r="E936" s="9" t="s">
        <v>1839</v>
      </c>
      <c r="F936" s="9" t="s">
        <v>1839</v>
      </c>
      <c r="G936" s="9" t="s">
        <v>1447</v>
      </c>
      <c r="H936" s="9" t="s">
        <v>833</v>
      </c>
      <c r="I936" s="9" t="s">
        <v>1448</v>
      </c>
      <c r="J936" s="15">
        <v>72800</v>
      </c>
      <c r="K936" s="15">
        <v>12133.33</v>
      </c>
    </row>
    <row r="937" spans="1:11">
      <c r="A937" s="9">
        <f t="shared" si="14"/>
        <v>932</v>
      </c>
      <c r="B937" s="9" t="s">
        <v>1669</v>
      </c>
      <c r="C937" s="9" t="s">
        <v>53</v>
      </c>
      <c r="D937" s="9" t="s">
        <v>1841</v>
      </c>
      <c r="E937" s="9" t="s">
        <v>1842</v>
      </c>
      <c r="F937" s="9" t="s">
        <v>1842</v>
      </c>
      <c r="G937" s="9" t="s">
        <v>299</v>
      </c>
      <c r="H937" s="9" t="s">
        <v>300</v>
      </c>
      <c r="I937" s="9" t="s">
        <v>301</v>
      </c>
      <c r="J937" s="15">
        <v>177840</v>
      </c>
      <c r="K937" s="15">
        <v>29640</v>
      </c>
    </row>
    <row r="938" spans="1:11">
      <c r="A938" s="9">
        <f t="shared" si="14"/>
        <v>933</v>
      </c>
      <c r="B938" s="9" t="s">
        <v>1669</v>
      </c>
      <c r="C938" s="9" t="s">
        <v>53</v>
      </c>
      <c r="D938" s="9" t="s">
        <v>572</v>
      </c>
      <c r="E938" s="9" t="s">
        <v>1842</v>
      </c>
      <c r="F938" s="9" t="s">
        <v>1842</v>
      </c>
      <c r="G938" s="9" t="s">
        <v>991</v>
      </c>
      <c r="H938" s="9" t="s">
        <v>327</v>
      </c>
      <c r="I938" s="9" t="s">
        <v>992</v>
      </c>
      <c r="J938" s="15">
        <v>507850</v>
      </c>
      <c r="K938" s="15">
        <v>84641.67</v>
      </c>
    </row>
    <row r="939" spans="1:11">
      <c r="A939" s="9">
        <f t="shared" si="14"/>
        <v>934</v>
      </c>
      <c r="B939" s="9" t="s">
        <v>1669</v>
      </c>
      <c r="C939" s="9" t="s">
        <v>71</v>
      </c>
      <c r="D939" s="9" t="s">
        <v>1843</v>
      </c>
      <c r="E939" s="9" t="s">
        <v>1778</v>
      </c>
      <c r="F939" s="9" t="s">
        <v>36</v>
      </c>
      <c r="G939" s="9" t="s">
        <v>74</v>
      </c>
      <c r="H939" s="9" t="s">
        <v>75</v>
      </c>
      <c r="I939" s="9" t="s">
        <v>38</v>
      </c>
      <c r="J939" s="15">
        <v>88303</v>
      </c>
      <c r="K939" s="15">
        <v>10000</v>
      </c>
    </row>
    <row r="940" spans="1:11">
      <c r="A940" s="9">
        <f t="shared" si="14"/>
        <v>935</v>
      </c>
      <c r="B940" s="9" t="s">
        <v>1669</v>
      </c>
      <c r="C940" s="9" t="s">
        <v>53</v>
      </c>
      <c r="D940" s="9" t="s">
        <v>1844</v>
      </c>
      <c r="E940" s="9" t="s">
        <v>1845</v>
      </c>
      <c r="F940" s="9" t="s">
        <v>1845</v>
      </c>
      <c r="G940" s="9" t="s">
        <v>983</v>
      </c>
      <c r="H940" s="9" t="s">
        <v>103</v>
      </c>
      <c r="I940" s="9" t="s">
        <v>984</v>
      </c>
      <c r="J940" s="15">
        <v>284</v>
      </c>
      <c r="K940" s="15">
        <v>47.33</v>
      </c>
    </row>
    <row r="941" spans="1:11">
      <c r="A941" s="9">
        <f t="shared" si="14"/>
        <v>936</v>
      </c>
      <c r="B941" s="9" t="s">
        <v>1669</v>
      </c>
      <c r="C941" s="9" t="s">
        <v>53</v>
      </c>
      <c r="D941" s="9" t="s">
        <v>1846</v>
      </c>
      <c r="E941" s="9" t="s">
        <v>1845</v>
      </c>
      <c r="F941" s="9" t="s">
        <v>1845</v>
      </c>
      <c r="G941" s="9" t="s">
        <v>983</v>
      </c>
      <c r="H941" s="9" t="s">
        <v>103</v>
      </c>
      <c r="I941" s="9" t="s">
        <v>984</v>
      </c>
      <c r="J941" s="15">
        <v>257</v>
      </c>
      <c r="K941" s="15">
        <v>42.83</v>
      </c>
    </row>
    <row r="942" spans="1:11">
      <c r="A942" s="9">
        <f t="shared" si="14"/>
        <v>937</v>
      </c>
      <c r="B942" s="9" t="s">
        <v>1669</v>
      </c>
      <c r="C942" s="9" t="s">
        <v>53</v>
      </c>
      <c r="D942" s="9" t="s">
        <v>1847</v>
      </c>
      <c r="E942" s="9" t="s">
        <v>1845</v>
      </c>
      <c r="F942" s="9" t="s">
        <v>1845</v>
      </c>
      <c r="G942" s="9" t="s">
        <v>983</v>
      </c>
      <c r="H942" s="9" t="s">
        <v>103</v>
      </c>
      <c r="I942" s="9" t="s">
        <v>984</v>
      </c>
      <c r="J942" s="15">
        <v>5870</v>
      </c>
      <c r="K942" s="15">
        <v>978.35</v>
      </c>
    </row>
    <row r="943" spans="1:11">
      <c r="A943" s="9">
        <f t="shared" si="14"/>
        <v>938</v>
      </c>
      <c r="B943" s="9" t="s">
        <v>1669</v>
      </c>
      <c r="C943" s="9" t="s">
        <v>53</v>
      </c>
      <c r="D943" s="9" t="s">
        <v>1848</v>
      </c>
      <c r="E943" s="9" t="s">
        <v>1845</v>
      </c>
      <c r="F943" s="9" t="s">
        <v>1845</v>
      </c>
      <c r="G943" s="9" t="s">
        <v>983</v>
      </c>
      <c r="H943" s="9" t="s">
        <v>103</v>
      </c>
      <c r="I943" s="9" t="s">
        <v>984</v>
      </c>
      <c r="J943" s="15">
        <v>1999</v>
      </c>
      <c r="K943" s="15">
        <v>333.17</v>
      </c>
    </row>
    <row r="944" spans="1:11">
      <c r="A944" s="9">
        <f t="shared" si="14"/>
        <v>939</v>
      </c>
      <c r="B944" s="9" t="s">
        <v>1669</v>
      </c>
      <c r="C944" s="9" t="s">
        <v>53</v>
      </c>
      <c r="D944" s="9" t="s">
        <v>1849</v>
      </c>
      <c r="E944" s="9" t="s">
        <v>1850</v>
      </c>
      <c r="F944" s="9" t="s">
        <v>1850</v>
      </c>
      <c r="G944" s="9" t="s">
        <v>102</v>
      </c>
      <c r="H944" s="9" t="s">
        <v>103</v>
      </c>
      <c r="I944" s="9" t="s">
        <v>104</v>
      </c>
      <c r="J944" s="15">
        <v>129</v>
      </c>
      <c r="K944" s="15">
        <v>21.5</v>
      </c>
    </row>
    <row r="945" spans="1:11">
      <c r="A945" s="9">
        <f t="shared" si="14"/>
        <v>940</v>
      </c>
      <c r="B945" s="9" t="s">
        <v>1669</v>
      </c>
      <c r="C945" s="9" t="s">
        <v>53</v>
      </c>
      <c r="D945" s="9" t="s">
        <v>1851</v>
      </c>
      <c r="E945" s="9" t="s">
        <v>1850</v>
      </c>
      <c r="F945" s="9" t="s">
        <v>1850</v>
      </c>
      <c r="G945" s="9" t="s">
        <v>102</v>
      </c>
      <c r="H945" s="9" t="s">
        <v>103</v>
      </c>
      <c r="I945" s="9" t="s">
        <v>104</v>
      </c>
      <c r="J945" s="15">
        <v>7963</v>
      </c>
      <c r="K945" s="15">
        <v>1327.17</v>
      </c>
    </row>
    <row r="946" spans="1:11">
      <c r="A946" s="9">
        <f t="shared" si="14"/>
        <v>941</v>
      </c>
      <c r="B946" s="9" t="s">
        <v>1669</v>
      </c>
      <c r="C946" s="9" t="s">
        <v>71</v>
      </c>
      <c r="D946" s="9" t="s">
        <v>1852</v>
      </c>
      <c r="E946" s="9" t="s">
        <v>1824</v>
      </c>
      <c r="F946" s="9" t="s">
        <v>36</v>
      </c>
      <c r="G946" s="9" t="s">
        <v>74</v>
      </c>
      <c r="H946" s="9" t="s">
        <v>75</v>
      </c>
      <c r="I946" s="9" t="s">
        <v>38</v>
      </c>
      <c r="J946" s="15">
        <v>300000</v>
      </c>
      <c r="K946" s="15">
        <v>50000</v>
      </c>
    </row>
    <row r="947" spans="1:11">
      <c r="A947" s="9">
        <f t="shared" si="14"/>
        <v>942</v>
      </c>
      <c r="B947" s="9" t="s">
        <v>1669</v>
      </c>
      <c r="C947" s="9" t="s">
        <v>53</v>
      </c>
      <c r="D947" s="9" t="s">
        <v>1853</v>
      </c>
      <c r="E947" s="9" t="s">
        <v>1854</v>
      </c>
      <c r="F947" s="9" t="s">
        <v>1854</v>
      </c>
      <c r="G947" s="9" t="s">
        <v>650</v>
      </c>
      <c r="H947" s="9" t="s">
        <v>651</v>
      </c>
      <c r="I947" s="9" t="s">
        <v>652</v>
      </c>
      <c r="J947" s="15">
        <v>1940000</v>
      </c>
      <c r="K947" s="15">
        <v>323333.33</v>
      </c>
    </row>
    <row r="948" spans="1:11">
      <c r="A948" s="9">
        <f t="shared" si="14"/>
        <v>943</v>
      </c>
      <c r="B948" s="9" t="s">
        <v>1669</v>
      </c>
      <c r="C948" s="9" t="s">
        <v>53</v>
      </c>
      <c r="D948" s="9" t="s">
        <v>1855</v>
      </c>
      <c r="E948" s="9" t="s">
        <v>1854</v>
      </c>
      <c r="F948" s="9" t="s">
        <v>1854</v>
      </c>
      <c r="G948" s="9" t="s">
        <v>313</v>
      </c>
      <c r="H948" s="9" t="s">
        <v>314</v>
      </c>
      <c r="I948" s="9" t="s">
        <v>315</v>
      </c>
      <c r="J948" s="15">
        <v>36000</v>
      </c>
      <c r="K948" s="15">
        <v>6000</v>
      </c>
    </row>
    <row r="949" spans="1:11">
      <c r="A949" s="9">
        <f t="shared" si="14"/>
        <v>944</v>
      </c>
      <c r="B949" s="9" t="s">
        <v>1669</v>
      </c>
      <c r="C949" s="9" t="s">
        <v>53</v>
      </c>
      <c r="D949" s="9" t="s">
        <v>1856</v>
      </c>
      <c r="E949" s="9" t="s">
        <v>1854</v>
      </c>
      <c r="F949" s="9" t="s">
        <v>1854</v>
      </c>
      <c r="G949" s="9" t="s">
        <v>983</v>
      </c>
      <c r="H949" s="9" t="s">
        <v>103</v>
      </c>
      <c r="I949" s="9" t="s">
        <v>984</v>
      </c>
      <c r="J949" s="15">
        <v>519</v>
      </c>
      <c r="K949" s="15">
        <v>86.5</v>
      </c>
    </row>
    <row r="950" spans="1:11">
      <c r="A950" s="9">
        <f t="shared" si="14"/>
        <v>945</v>
      </c>
      <c r="B950" s="9" t="s">
        <v>1669</v>
      </c>
      <c r="C950" s="9" t="s">
        <v>71</v>
      </c>
      <c r="D950" s="9" t="s">
        <v>1857</v>
      </c>
      <c r="E950" s="9" t="s">
        <v>1842</v>
      </c>
      <c r="F950" s="9" t="s">
        <v>36</v>
      </c>
      <c r="G950" s="9" t="s">
        <v>74</v>
      </c>
      <c r="H950" s="9" t="s">
        <v>75</v>
      </c>
      <c r="I950" s="9" t="s">
        <v>38</v>
      </c>
      <c r="J950" s="15">
        <v>1010000</v>
      </c>
      <c r="K950" s="15">
        <v>168333.33</v>
      </c>
    </row>
    <row r="951" spans="1:11">
      <c r="A951" s="9">
        <f t="shared" si="14"/>
        <v>946</v>
      </c>
      <c r="B951" s="9" t="s">
        <v>1669</v>
      </c>
      <c r="C951" s="9" t="s">
        <v>53</v>
      </c>
      <c r="D951" s="9" t="s">
        <v>1858</v>
      </c>
      <c r="E951" s="9" t="s">
        <v>1859</v>
      </c>
      <c r="F951" s="9" t="s">
        <v>1859</v>
      </c>
      <c r="G951" s="9" t="s">
        <v>888</v>
      </c>
      <c r="H951" s="9" t="s">
        <v>500</v>
      </c>
      <c r="I951" s="9" t="s">
        <v>889</v>
      </c>
      <c r="J951" s="15">
        <v>400360</v>
      </c>
      <c r="K951" s="15">
        <v>66726.67</v>
      </c>
    </row>
    <row r="952" spans="1:11">
      <c r="A952" s="9">
        <f t="shared" si="14"/>
        <v>947</v>
      </c>
      <c r="B952" s="9" t="s">
        <v>1669</v>
      </c>
      <c r="C952" s="9" t="s">
        <v>53</v>
      </c>
      <c r="D952" s="9" t="s">
        <v>1860</v>
      </c>
      <c r="E952" s="9" t="s">
        <v>1859</v>
      </c>
      <c r="F952" s="9" t="s">
        <v>1859</v>
      </c>
      <c r="G952" s="9" t="s">
        <v>409</v>
      </c>
      <c r="H952" s="9" t="s">
        <v>410</v>
      </c>
      <c r="I952" s="9" t="s">
        <v>411</v>
      </c>
      <c r="J952" s="15">
        <v>483604</v>
      </c>
      <c r="K952" s="15">
        <v>80600.67</v>
      </c>
    </row>
    <row r="953" spans="1:11">
      <c r="A953" s="9">
        <f t="shared" si="14"/>
        <v>948</v>
      </c>
      <c r="B953" s="9" t="s">
        <v>1669</v>
      </c>
      <c r="C953" s="9" t="s">
        <v>53</v>
      </c>
      <c r="D953" s="9" t="s">
        <v>1861</v>
      </c>
      <c r="E953" s="9" t="s">
        <v>1862</v>
      </c>
      <c r="F953" s="9" t="s">
        <v>1862</v>
      </c>
      <c r="G953" s="9" t="s">
        <v>1863</v>
      </c>
      <c r="H953" s="9" t="s">
        <v>1698</v>
      </c>
      <c r="I953" s="9" t="s">
        <v>1864</v>
      </c>
      <c r="J953" s="15">
        <v>55000</v>
      </c>
      <c r="K953" s="15">
        <v>9166.67</v>
      </c>
    </row>
    <row r="954" spans="1:11">
      <c r="A954" s="9">
        <f t="shared" si="14"/>
        <v>949</v>
      </c>
      <c r="B954" s="9" t="s">
        <v>1669</v>
      </c>
      <c r="C954" s="9" t="s">
        <v>71</v>
      </c>
      <c r="D954" s="9" t="s">
        <v>1865</v>
      </c>
      <c r="E954" s="9" t="s">
        <v>1866</v>
      </c>
      <c r="F954" s="9" t="s">
        <v>36</v>
      </c>
      <c r="G954" s="9" t="s">
        <v>74</v>
      </c>
      <c r="H954" s="9" t="s">
        <v>75</v>
      </c>
      <c r="I954" s="9" t="s">
        <v>38</v>
      </c>
      <c r="J954" s="15">
        <v>1280000</v>
      </c>
      <c r="K954" s="15">
        <v>213333.33</v>
      </c>
    </row>
    <row r="955" spans="1:11">
      <c r="A955" s="9">
        <f t="shared" si="14"/>
        <v>950</v>
      </c>
      <c r="B955" s="9" t="s">
        <v>1669</v>
      </c>
      <c r="C955" s="9" t="s">
        <v>71</v>
      </c>
      <c r="D955" s="9" t="s">
        <v>1867</v>
      </c>
      <c r="E955" s="9" t="s">
        <v>1859</v>
      </c>
      <c r="F955" s="9" t="s">
        <v>36</v>
      </c>
      <c r="G955" s="9" t="s">
        <v>74</v>
      </c>
      <c r="H955" s="9" t="s">
        <v>75</v>
      </c>
      <c r="I955" s="9" t="s">
        <v>38</v>
      </c>
      <c r="J955" s="15">
        <v>76000</v>
      </c>
      <c r="K955" s="15">
        <v>12666.67</v>
      </c>
    </row>
    <row r="956" spans="1:11">
      <c r="A956" s="9">
        <f t="shared" si="14"/>
        <v>951</v>
      </c>
      <c r="B956" s="9" t="s">
        <v>1669</v>
      </c>
      <c r="C956" s="9" t="s">
        <v>53</v>
      </c>
      <c r="D956" s="9" t="s">
        <v>1868</v>
      </c>
      <c r="E956" s="9" t="s">
        <v>1869</v>
      </c>
      <c r="F956" s="9" t="s">
        <v>1869</v>
      </c>
      <c r="G956" s="9" t="s">
        <v>983</v>
      </c>
      <c r="H956" s="9" t="s">
        <v>103</v>
      </c>
      <c r="I956" s="9" t="s">
        <v>984</v>
      </c>
      <c r="J956" s="15">
        <v>907</v>
      </c>
      <c r="K956" s="15">
        <v>151.16999999999999</v>
      </c>
    </row>
    <row r="957" spans="1:11">
      <c r="A957" s="9">
        <f t="shared" si="14"/>
        <v>952</v>
      </c>
      <c r="B957" s="9" t="s">
        <v>1669</v>
      </c>
      <c r="C957" s="9" t="s">
        <v>53</v>
      </c>
      <c r="D957" s="9" t="s">
        <v>1870</v>
      </c>
      <c r="E957" s="9" t="s">
        <v>1869</v>
      </c>
      <c r="F957" s="9" t="s">
        <v>1869</v>
      </c>
      <c r="G957" s="9" t="s">
        <v>318</v>
      </c>
      <c r="H957" s="9" t="s">
        <v>864</v>
      </c>
      <c r="I957" s="9" t="s">
        <v>320</v>
      </c>
      <c r="J957" s="15">
        <v>6120</v>
      </c>
      <c r="K957" s="15">
        <v>899.18</v>
      </c>
    </row>
    <row r="958" spans="1:11">
      <c r="A958" s="9">
        <f t="shared" si="14"/>
        <v>953</v>
      </c>
      <c r="B958" s="9" t="s">
        <v>1669</v>
      </c>
      <c r="C958" s="9" t="s">
        <v>53</v>
      </c>
      <c r="D958" s="9" t="s">
        <v>1871</v>
      </c>
      <c r="E958" s="9" t="s">
        <v>1869</v>
      </c>
      <c r="F958" s="9" t="s">
        <v>1869</v>
      </c>
      <c r="G958" s="9" t="s">
        <v>1796</v>
      </c>
      <c r="H958" s="9" t="s">
        <v>1872</v>
      </c>
      <c r="I958" s="9" t="s">
        <v>1797</v>
      </c>
      <c r="J958" s="15">
        <v>984252</v>
      </c>
      <c r="K958" s="15">
        <v>164042</v>
      </c>
    </row>
    <row r="959" spans="1:11">
      <c r="A959" s="9">
        <f t="shared" si="14"/>
        <v>954</v>
      </c>
      <c r="B959" s="9" t="s">
        <v>1669</v>
      </c>
      <c r="C959" s="9" t="s">
        <v>53</v>
      </c>
      <c r="D959" s="9" t="s">
        <v>1873</v>
      </c>
      <c r="E959" s="9" t="s">
        <v>1874</v>
      </c>
      <c r="F959" s="9" t="s">
        <v>1874</v>
      </c>
      <c r="G959" s="9" t="s">
        <v>650</v>
      </c>
      <c r="H959" s="9" t="s">
        <v>651</v>
      </c>
      <c r="I959" s="9" t="s">
        <v>652</v>
      </c>
      <c r="J959" s="15">
        <v>1940000</v>
      </c>
      <c r="K959" s="15">
        <v>323333.33</v>
      </c>
    </row>
    <row r="960" spans="1:11">
      <c r="A960" s="9">
        <f t="shared" si="14"/>
        <v>955</v>
      </c>
      <c r="B960" s="9" t="s">
        <v>1669</v>
      </c>
      <c r="C960" s="9" t="s">
        <v>71</v>
      </c>
      <c r="D960" s="9" t="s">
        <v>1875</v>
      </c>
      <c r="E960" s="9" t="s">
        <v>1854</v>
      </c>
      <c r="F960" s="9" t="s">
        <v>36</v>
      </c>
      <c r="G960" s="9" t="s">
        <v>74</v>
      </c>
      <c r="H960" s="9" t="s">
        <v>75</v>
      </c>
      <c r="I960" s="9" t="s">
        <v>38</v>
      </c>
      <c r="J960" s="15">
        <v>2020000</v>
      </c>
      <c r="K960" s="15">
        <v>336666.67</v>
      </c>
    </row>
    <row r="961" spans="1:11">
      <c r="A961" s="9">
        <f t="shared" si="14"/>
        <v>956</v>
      </c>
      <c r="B961" s="9" t="s">
        <v>1669</v>
      </c>
      <c r="C961" s="9" t="s">
        <v>71</v>
      </c>
      <c r="D961" s="9" t="s">
        <v>1876</v>
      </c>
      <c r="E961" s="9" t="s">
        <v>1869</v>
      </c>
      <c r="F961" s="9" t="s">
        <v>36</v>
      </c>
      <c r="G961" s="9" t="s">
        <v>74</v>
      </c>
      <c r="H961" s="9" t="s">
        <v>75</v>
      </c>
      <c r="I961" s="9" t="s">
        <v>38</v>
      </c>
      <c r="J961" s="15">
        <v>1010000</v>
      </c>
      <c r="K961" s="15">
        <v>168333.33</v>
      </c>
    </row>
    <row r="962" spans="1:11">
      <c r="A962" s="9">
        <f t="shared" si="14"/>
        <v>957</v>
      </c>
      <c r="B962" s="9" t="s">
        <v>1669</v>
      </c>
      <c r="C962" s="9" t="s">
        <v>71</v>
      </c>
      <c r="D962" s="9" t="s">
        <v>1877</v>
      </c>
      <c r="E962" s="9" t="s">
        <v>1874</v>
      </c>
      <c r="F962" s="9" t="s">
        <v>36</v>
      </c>
      <c r="G962" s="9" t="s">
        <v>74</v>
      </c>
      <c r="H962" s="9" t="s">
        <v>75</v>
      </c>
      <c r="I962" s="9" t="s">
        <v>38</v>
      </c>
      <c r="J962" s="15">
        <v>114000</v>
      </c>
      <c r="K962" s="15">
        <v>19000</v>
      </c>
    </row>
    <row r="963" spans="1:11">
      <c r="A963" s="9">
        <f t="shared" si="14"/>
        <v>958</v>
      </c>
      <c r="B963" s="9" t="s">
        <v>1669</v>
      </c>
      <c r="C963" s="9" t="s">
        <v>53</v>
      </c>
      <c r="D963" s="9" t="s">
        <v>1878</v>
      </c>
      <c r="E963" s="9" t="s">
        <v>1879</v>
      </c>
      <c r="F963" s="9" t="s">
        <v>1879</v>
      </c>
      <c r="G963" s="9" t="s">
        <v>1447</v>
      </c>
      <c r="H963" s="9" t="s">
        <v>833</v>
      </c>
      <c r="I963" s="9" t="s">
        <v>1448</v>
      </c>
      <c r="J963" s="15">
        <v>72800</v>
      </c>
      <c r="K963" s="15">
        <v>12133.33</v>
      </c>
    </row>
    <row r="964" spans="1:11">
      <c r="A964" s="9">
        <f t="shared" si="14"/>
        <v>959</v>
      </c>
      <c r="B964" s="9" t="s">
        <v>1669</v>
      </c>
      <c r="C964" s="9" t="s">
        <v>53</v>
      </c>
      <c r="D964" s="9" t="s">
        <v>1880</v>
      </c>
      <c r="E964" s="9" t="s">
        <v>1881</v>
      </c>
      <c r="F964" s="9" t="s">
        <v>1881</v>
      </c>
      <c r="G964" s="9" t="s">
        <v>1290</v>
      </c>
      <c r="H964" s="9" t="s">
        <v>1291</v>
      </c>
      <c r="I964" s="9" t="s">
        <v>1292</v>
      </c>
      <c r="J964" s="15">
        <v>94838</v>
      </c>
      <c r="K964" s="15">
        <v>15806.33</v>
      </c>
    </row>
    <row r="965" spans="1:11">
      <c r="A965" s="9">
        <f t="shared" si="14"/>
        <v>960</v>
      </c>
      <c r="B965" s="9" t="s">
        <v>1669</v>
      </c>
      <c r="C965" s="9" t="s">
        <v>53</v>
      </c>
      <c r="D965" s="9" t="s">
        <v>1882</v>
      </c>
      <c r="E965" s="9" t="s">
        <v>1881</v>
      </c>
      <c r="F965" s="9" t="s">
        <v>1881</v>
      </c>
      <c r="G965" s="9" t="s">
        <v>1185</v>
      </c>
      <c r="H965" s="9" t="s">
        <v>75</v>
      </c>
      <c r="I965" s="9" t="s">
        <v>1186</v>
      </c>
      <c r="J965" s="15">
        <v>30000</v>
      </c>
      <c r="K965" s="15">
        <v>5000</v>
      </c>
    </row>
    <row r="966" spans="1:11">
      <c r="A966" s="9">
        <f t="shared" si="14"/>
        <v>961</v>
      </c>
      <c r="B966" s="9" t="s">
        <v>1669</v>
      </c>
      <c r="C966" s="9" t="s">
        <v>53</v>
      </c>
      <c r="D966" s="9" t="s">
        <v>1883</v>
      </c>
      <c r="E966" s="9" t="s">
        <v>1881</v>
      </c>
      <c r="F966" s="9" t="s">
        <v>1881</v>
      </c>
      <c r="G966" s="9" t="s">
        <v>1185</v>
      </c>
      <c r="H966" s="9" t="s">
        <v>75</v>
      </c>
      <c r="I966" s="9" t="s">
        <v>1186</v>
      </c>
      <c r="J966" s="15">
        <v>168145.64</v>
      </c>
      <c r="K966" s="15">
        <v>28024.27</v>
      </c>
    </row>
    <row r="967" spans="1:11">
      <c r="A967" s="9">
        <f t="shared" ref="A967:A1030" si="15">A966+1</f>
        <v>962</v>
      </c>
      <c r="B967" s="9" t="s">
        <v>1669</v>
      </c>
      <c r="C967" s="9" t="s">
        <v>53</v>
      </c>
      <c r="D967" s="9" t="s">
        <v>1884</v>
      </c>
      <c r="E967" s="9" t="s">
        <v>1881</v>
      </c>
      <c r="F967" s="9" t="s">
        <v>1881</v>
      </c>
      <c r="G967" s="9" t="s">
        <v>1185</v>
      </c>
      <c r="H967" s="9" t="s">
        <v>75</v>
      </c>
      <c r="I967" s="9" t="s">
        <v>1186</v>
      </c>
      <c r="J967" s="15">
        <v>3000</v>
      </c>
      <c r="K967" s="15">
        <v>500</v>
      </c>
    </row>
    <row r="968" spans="1:11">
      <c r="A968" s="9">
        <f t="shared" si="15"/>
        <v>963</v>
      </c>
      <c r="B968" s="9" t="s">
        <v>1669</v>
      </c>
      <c r="C968" s="9" t="s">
        <v>53</v>
      </c>
      <c r="D968" s="9" t="s">
        <v>1885</v>
      </c>
      <c r="E968" s="9" t="s">
        <v>1881</v>
      </c>
      <c r="F968" s="9" t="s">
        <v>1881</v>
      </c>
      <c r="G968" s="9" t="s">
        <v>1382</v>
      </c>
      <c r="H968" s="9" t="s">
        <v>1383</v>
      </c>
      <c r="I968" s="9" t="s">
        <v>1384</v>
      </c>
      <c r="J968" s="15">
        <v>55</v>
      </c>
      <c r="K968" s="15">
        <v>9.17</v>
      </c>
    </row>
    <row r="969" spans="1:11">
      <c r="A969" s="9">
        <f t="shared" si="15"/>
        <v>964</v>
      </c>
      <c r="B969" s="9" t="s">
        <v>1669</v>
      </c>
      <c r="C969" s="9" t="s">
        <v>53</v>
      </c>
      <c r="D969" s="9" t="s">
        <v>1886</v>
      </c>
      <c r="E969" s="9" t="s">
        <v>1881</v>
      </c>
      <c r="F969" s="9" t="s">
        <v>1881</v>
      </c>
      <c r="G969" s="9" t="s">
        <v>1382</v>
      </c>
      <c r="H969" s="9" t="s">
        <v>1383</v>
      </c>
      <c r="I969" s="9" t="s">
        <v>1384</v>
      </c>
      <c r="J969" s="15">
        <v>34</v>
      </c>
      <c r="K969" s="15">
        <v>5.67</v>
      </c>
    </row>
    <row r="970" spans="1:11">
      <c r="A970" s="9">
        <f t="shared" si="15"/>
        <v>965</v>
      </c>
      <c r="B970" s="9" t="s">
        <v>1887</v>
      </c>
      <c r="C970" s="9" t="s">
        <v>53</v>
      </c>
      <c r="D970" s="9" t="s">
        <v>1888</v>
      </c>
      <c r="E970" s="9" t="s">
        <v>1616</v>
      </c>
      <c r="F970" s="9" t="s">
        <v>1889</v>
      </c>
      <c r="G970" s="9" t="s">
        <v>1890</v>
      </c>
      <c r="H970" s="9" t="s">
        <v>300</v>
      </c>
      <c r="I970" s="9" t="s">
        <v>1891</v>
      </c>
      <c r="J970" s="15">
        <v>242424</v>
      </c>
      <c r="K970" s="15">
        <v>40404</v>
      </c>
    </row>
    <row r="971" spans="1:11">
      <c r="A971" s="9">
        <f t="shared" si="15"/>
        <v>966</v>
      </c>
      <c r="B971" s="9" t="s">
        <v>1887</v>
      </c>
      <c r="C971" s="9" t="s">
        <v>53</v>
      </c>
      <c r="D971" s="9" t="s">
        <v>1892</v>
      </c>
      <c r="E971" s="9" t="s">
        <v>1893</v>
      </c>
      <c r="F971" s="9" t="s">
        <v>1893</v>
      </c>
      <c r="G971" s="9" t="s">
        <v>983</v>
      </c>
      <c r="H971" s="9" t="s">
        <v>103</v>
      </c>
      <c r="I971" s="9" t="s">
        <v>984</v>
      </c>
      <c r="J971" s="15">
        <v>755</v>
      </c>
      <c r="K971" s="15">
        <v>68.64</v>
      </c>
    </row>
    <row r="972" spans="1:11">
      <c r="A972" s="9">
        <f t="shared" si="15"/>
        <v>967</v>
      </c>
      <c r="B972" s="9" t="s">
        <v>1887</v>
      </c>
      <c r="C972" s="9" t="s">
        <v>53</v>
      </c>
      <c r="D972" s="9" t="s">
        <v>731</v>
      </c>
      <c r="E972" s="9" t="s">
        <v>1893</v>
      </c>
      <c r="F972" s="9" t="s">
        <v>1893</v>
      </c>
      <c r="G972" s="9" t="s">
        <v>1894</v>
      </c>
      <c r="H972" s="9" t="s">
        <v>327</v>
      </c>
      <c r="I972" s="9" t="s">
        <v>1895</v>
      </c>
      <c r="J972" s="15">
        <v>681720</v>
      </c>
      <c r="K972" s="15">
        <v>113620</v>
      </c>
    </row>
    <row r="973" spans="1:11">
      <c r="A973" s="9">
        <f t="shared" si="15"/>
        <v>968</v>
      </c>
      <c r="B973" s="9" t="s">
        <v>1887</v>
      </c>
      <c r="C973" s="9" t="s">
        <v>53</v>
      </c>
      <c r="D973" s="9" t="s">
        <v>1896</v>
      </c>
      <c r="E973" s="9" t="s">
        <v>1897</v>
      </c>
      <c r="F973" s="9" t="s">
        <v>1897</v>
      </c>
      <c r="G973" s="9" t="s">
        <v>650</v>
      </c>
      <c r="H973" s="9" t="s">
        <v>651</v>
      </c>
      <c r="I973" s="9" t="s">
        <v>652</v>
      </c>
      <c r="J973" s="15">
        <v>1920000</v>
      </c>
      <c r="K973" s="15">
        <v>320000</v>
      </c>
    </row>
    <row r="974" spans="1:11">
      <c r="A974" s="9">
        <f t="shared" si="15"/>
        <v>969</v>
      </c>
      <c r="B974" s="9" t="s">
        <v>1887</v>
      </c>
      <c r="C974" s="9" t="s">
        <v>71</v>
      </c>
      <c r="D974" s="9" t="s">
        <v>1898</v>
      </c>
      <c r="E974" s="9" t="s">
        <v>1869</v>
      </c>
      <c r="F974" s="9" t="s">
        <v>36</v>
      </c>
      <c r="G974" s="9" t="s">
        <v>74</v>
      </c>
      <c r="H974" s="9" t="s">
        <v>75</v>
      </c>
      <c r="I974" s="9" t="s">
        <v>38</v>
      </c>
      <c r="J974" s="15">
        <v>2020000</v>
      </c>
      <c r="K974" s="15">
        <v>336666.67</v>
      </c>
    </row>
    <row r="975" spans="1:11">
      <c r="A975" s="9">
        <f t="shared" si="15"/>
        <v>970</v>
      </c>
      <c r="B975" s="9" t="s">
        <v>1887</v>
      </c>
      <c r="C975" s="9" t="s">
        <v>53</v>
      </c>
      <c r="D975" s="9" t="s">
        <v>1899</v>
      </c>
      <c r="E975" s="9" t="s">
        <v>1900</v>
      </c>
      <c r="F975" s="9" t="s">
        <v>1900</v>
      </c>
      <c r="G975" s="9" t="s">
        <v>299</v>
      </c>
      <c r="H975" s="9" t="s">
        <v>300</v>
      </c>
      <c r="I975" s="9" t="s">
        <v>301</v>
      </c>
      <c r="J975" s="15">
        <v>222000</v>
      </c>
      <c r="K975" s="15">
        <v>37000</v>
      </c>
    </row>
    <row r="976" spans="1:11">
      <c r="A976" s="9">
        <f t="shared" si="15"/>
        <v>971</v>
      </c>
      <c r="B976" s="9" t="s">
        <v>1887</v>
      </c>
      <c r="C976" s="9" t="s">
        <v>53</v>
      </c>
      <c r="D976" s="9" t="s">
        <v>236</v>
      </c>
      <c r="E976" s="9" t="s">
        <v>1901</v>
      </c>
      <c r="F976" s="9" t="s">
        <v>1902</v>
      </c>
      <c r="G976" s="9" t="s">
        <v>539</v>
      </c>
      <c r="H976" s="9" t="s">
        <v>540</v>
      </c>
      <c r="I976" s="9" t="s">
        <v>541</v>
      </c>
      <c r="J976" s="15">
        <v>196752</v>
      </c>
      <c r="K976" s="15">
        <v>32792</v>
      </c>
    </row>
    <row r="977" spans="1:11">
      <c r="A977" s="9">
        <f t="shared" si="15"/>
        <v>972</v>
      </c>
      <c r="B977" s="9" t="s">
        <v>1887</v>
      </c>
      <c r="C977" s="9" t="s">
        <v>71</v>
      </c>
      <c r="D977" s="9" t="s">
        <v>1843</v>
      </c>
      <c r="E977" s="9" t="s">
        <v>1778</v>
      </c>
      <c r="F977" s="9" t="s">
        <v>36</v>
      </c>
      <c r="G977" s="9" t="s">
        <v>74</v>
      </c>
      <c r="H977" s="9" t="s">
        <v>75</v>
      </c>
      <c r="I977" s="9" t="s">
        <v>38</v>
      </c>
      <c r="J977" s="15">
        <v>88303</v>
      </c>
      <c r="K977" s="15">
        <v>4717.17</v>
      </c>
    </row>
    <row r="978" spans="1:11">
      <c r="A978" s="9">
        <f t="shared" si="15"/>
        <v>973</v>
      </c>
      <c r="B978" s="9" t="s">
        <v>1887</v>
      </c>
      <c r="C978" s="9" t="s">
        <v>53</v>
      </c>
      <c r="D978" s="9" t="s">
        <v>1375</v>
      </c>
      <c r="E978" s="9" t="s">
        <v>1902</v>
      </c>
      <c r="F978" s="9" t="s">
        <v>1902</v>
      </c>
      <c r="G978" s="9" t="s">
        <v>1894</v>
      </c>
      <c r="H978" s="9" t="s">
        <v>327</v>
      </c>
      <c r="I978" s="9" t="s">
        <v>1895</v>
      </c>
      <c r="J978" s="15">
        <v>606675</v>
      </c>
      <c r="K978" s="15">
        <v>101112.5</v>
      </c>
    </row>
    <row r="979" spans="1:11">
      <c r="A979" s="9">
        <f t="shared" si="15"/>
        <v>974</v>
      </c>
      <c r="B979" s="9" t="s">
        <v>1887</v>
      </c>
      <c r="C979" s="9" t="s">
        <v>71</v>
      </c>
      <c r="D979" s="9" t="s">
        <v>107</v>
      </c>
      <c r="E979" s="9" t="s">
        <v>1903</v>
      </c>
      <c r="F979" s="9" t="s">
        <v>36</v>
      </c>
      <c r="G979" s="9" t="s">
        <v>74</v>
      </c>
      <c r="H979" s="9" t="s">
        <v>75</v>
      </c>
      <c r="I979" s="9" t="s">
        <v>38</v>
      </c>
      <c r="J979" s="15">
        <v>300000</v>
      </c>
      <c r="K979" s="15">
        <v>50000</v>
      </c>
    </row>
    <row r="980" spans="1:11">
      <c r="A980" s="9">
        <f t="shared" si="15"/>
        <v>975</v>
      </c>
      <c r="B980" s="9" t="s">
        <v>1887</v>
      </c>
      <c r="C980" s="9" t="s">
        <v>71</v>
      </c>
      <c r="D980" s="9" t="s">
        <v>72</v>
      </c>
      <c r="E980" s="9" t="s">
        <v>1897</v>
      </c>
      <c r="F980" s="9" t="s">
        <v>36</v>
      </c>
      <c r="G980" s="9" t="s">
        <v>74</v>
      </c>
      <c r="H980" s="9" t="s">
        <v>75</v>
      </c>
      <c r="I980" s="9" t="s">
        <v>38</v>
      </c>
      <c r="J980" s="15">
        <v>500000</v>
      </c>
      <c r="K980" s="15">
        <v>83333.33</v>
      </c>
    </row>
    <row r="981" spans="1:11">
      <c r="A981" s="9">
        <f t="shared" si="15"/>
        <v>976</v>
      </c>
      <c r="B981" s="9" t="s">
        <v>1887</v>
      </c>
      <c r="C981" s="9" t="s">
        <v>71</v>
      </c>
      <c r="D981" s="9" t="s">
        <v>116</v>
      </c>
      <c r="E981" s="9" t="s">
        <v>1902</v>
      </c>
      <c r="F981" s="9" t="s">
        <v>36</v>
      </c>
      <c r="G981" s="9" t="s">
        <v>74</v>
      </c>
      <c r="H981" s="9" t="s">
        <v>75</v>
      </c>
      <c r="I981" s="9" t="s">
        <v>38</v>
      </c>
      <c r="J981" s="15">
        <v>444000</v>
      </c>
      <c r="K981" s="15">
        <v>74000</v>
      </c>
    </row>
    <row r="982" spans="1:11">
      <c r="A982" s="9">
        <f t="shared" si="15"/>
        <v>977</v>
      </c>
      <c r="B982" s="9" t="s">
        <v>1887</v>
      </c>
      <c r="C982" s="9" t="s">
        <v>53</v>
      </c>
      <c r="D982" s="9" t="s">
        <v>1904</v>
      </c>
      <c r="E982" s="9" t="s">
        <v>1905</v>
      </c>
      <c r="F982" s="9" t="s">
        <v>1905</v>
      </c>
      <c r="G982" s="9" t="s">
        <v>650</v>
      </c>
      <c r="H982" s="9" t="s">
        <v>651</v>
      </c>
      <c r="I982" s="9" t="s">
        <v>652</v>
      </c>
      <c r="J982" s="15">
        <v>480000</v>
      </c>
      <c r="K982" s="15">
        <v>80000</v>
      </c>
    </row>
    <row r="983" spans="1:11">
      <c r="A983" s="9">
        <f t="shared" si="15"/>
        <v>978</v>
      </c>
      <c r="B983" s="9" t="s">
        <v>1887</v>
      </c>
      <c r="C983" s="9" t="s">
        <v>53</v>
      </c>
      <c r="D983" s="9" t="s">
        <v>1906</v>
      </c>
      <c r="E983" s="9" t="s">
        <v>1907</v>
      </c>
      <c r="F983" s="9" t="s">
        <v>1907</v>
      </c>
      <c r="G983" s="9" t="s">
        <v>1908</v>
      </c>
      <c r="H983" s="9" t="s">
        <v>1620</v>
      </c>
      <c r="I983" s="9" t="s">
        <v>1909</v>
      </c>
      <c r="J983" s="15">
        <v>468600</v>
      </c>
      <c r="K983" s="15">
        <v>78100</v>
      </c>
    </row>
    <row r="984" spans="1:11">
      <c r="A984" s="9">
        <f t="shared" si="15"/>
        <v>979</v>
      </c>
      <c r="B984" s="9" t="s">
        <v>1887</v>
      </c>
      <c r="C984" s="9" t="s">
        <v>53</v>
      </c>
      <c r="D984" s="9" t="s">
        <v>1910</v>
      </c>
      <c r="E984" s="9" t="s">
        <v>1911</v>
      </c>
      <c r="F984" s="9" t="s">
        <v>1911</v>
      </c>
      <c r="G984" s="9" t="s">
        <v>1912</v>
      </c>
      <c r="H984" s="9" t="s">
        <v>57</v>
      </c>
      <c r="I984" s="9" t="s">
        <v>1913</v>
      </c>
      <c r="J984" s="15">
        <v>55000</v>
      </c>
      <c r="K984" s="15">
        <v>9166.67</v>
      </c>
    </row>
    <row r="985" spans="1:11">
      <c r="A985" s="9">
        <f t="shared" si="15"/>
        <v>980</v>
      </c>
      <c r="B985" s="9" t="s">
        <v>1887</v>
      </c>
      <c r="C985" s="9" t="s">
        <v>53</v>
      </c>
      <c r="D985" s="9" t="s">
        <v>1914</v>
      </c>
      <c r="E985" s="9" t="s">
        <v>1915</v>
      </c>
      <c r="F985" s="9" t="s">
        <v>1915</v>
      </c>
      <c r="G985" s="9" t="s">
        <v>102</v>
      </c>
      <c r="H985" s="9" t="s">
        <v>103</v>
      </c>
      <c r="I985" s="9" t="s">
        <v>104</v>
      </c>
      <c r="J985" s="15">
        <v>5180</v>
      </c>
      <c r="K985" s="15">
        <v>863.33</v>
      </c>
    </row>
    <row r="986" spans="1:11">
      <c r="A986" s="9">
        <f t="shared" si="15"/>
        <v>981</v>
      </c>
      <c r="B986" s="9" t="s">
        <v>1887</v>
      </c>
      <c r="C986" s="9" t="s">
        <v>53</v>
      </c>
      <c r="D986" s="9" t="s">
        <v>1916</v>
      </c>
      <c r="E986" s="9" t="s">
        <v>1915</v>
      </c>
      <c r="F986" s="9" t="s">
        <v>1915</v>
      </c>
      <c r="G986" s="9" t="s">
        <v>102</v>
      </c>
      <c r="H986" s="9" t="s">
        <v>103</v>
      </c>
      <c r="I986" s="9" t="s">
        <v>104</v>
      </c>
      <c r="J986" s="15">
        <v>507</v>
      </c>
      <c r="K986" s="15">
        <v>84.5</v>
      </c>
    </row>
    <row r="987" spans="1:11">
      <c r="A987" s="9">
        <f t="shared" si="15"/>
        <v>982</v>
      </c>
      <c r="B987" s="9" t="s">
        <v>1887</v>
      </c>
      <c r="C987" s="9" t="s">
        <v>53</v>
      </c>
      <c r="D987" s="9" t="s">
        <v>1917</v>
      </c>
      <c r="E987" s="9" t="s">
        <v>1915</v>
      </c>
      <c r="F987" s="9" t="s">
        <v>1915</v>
      </c>
      <c r="G987" s="9" t="s">
        <v>102</v>
      </c>
      <c r="H987" s="9" t="s">
        <v>103</v>
      </c>
      <c r="I987" s="9" t="s">
        <v>104</v>
      </c>
      <c r="J987" s="15">
        <v>6028</v>
      </c>
      <c r="K987" s="15">
        <v>1004.67</v>
      </c>
    </row>
    <row r="988" spans="1:11">
      <c r="A988" s="9">
        <f t="shared" si="15"/>
        <v>983</v>
      </c>
      <c r="B988" s="9" t="s">
        <v>1887</v>
      </c>
      <c r="C988" s="9" t="s">
        <v>53</v>
      </c>
      <c r="D988" s="9" t="s">
        <v>1918</v>
      </c>
      <c r="E988" s="9" t="s">
        <v>1915</v>
      </c>
      <c r="F988" s="9" t="s">
        <v>1915</v>
      </c>
      <c r="G988" s="9" t="s">
        <v>102</v>
      </c>
      <c r="H988" s="9" t="s">
        <v>103</v>
      </c>
      <c r="I988" s="9" t="s">
        <v>104</v>
      </c>
      <c r="J988" s="15">
        <v>7334</v>
      </c>
      <c r="K988" s="15">
        <v>1222.33</v>
      </c>
    </row>
    <row r="989" spans="1:11">
      <c r="A989" s="9">
        <f t="shared" si="15"/>
        <v>984</v>
      </c>
      <c r="B989" s="9" t="s">
        <v>1887</v>
      </c>
      <c r="C989" s="9" t="s">
        <v>122</v>
      </c>
      <c r="D989" s="9" t="s">
        <v>132</v>
      </c>
      <c r="E989" s="9" t="s">
        <v>1869</v>
      </c>
      <c r="F989" s="9" t="s">
        <v>1919</v>
      </c>
      <c r="G989" s="9" t="s">
        <v>74</v>
      </c>
      <c r="H989" s="9" t="s">
        <v>75</v>
      </c>
      <c r="I989" s="9" t="s">
        <v>38</v>
      </c>
      <c r="J989" s="15">
        <v>76000</v>
      </c>
      <c r="K989" s="15">
        <v>12666.67</v>
      </c>
    </row>
    <row r="990" spans="1:11">
      <c r="A990" s="9">
        <f t="shared" si="15"/>
        <v>985</v>
      </c>
      <c r="B990" s="9" t="s">
        <v>1887</v>
      </c>
      <c r="C990" s="9" t="s">
        <v>53</v>
      </c>
      <c r="D990" s="9" t="s">
        <v>1920</v>
      </c>
      <c r="E990" s="9" t="s">
        <v>1921</v>
      </c>
      <c r="F990" s="9" t="s">
        <v>1921</v>
      </c>
      <c r="G990" s="9" t="s">
        <v>650</v>
      </c>
      <c r="H990" s="9" t="s">
        <v>651</v>
      </c>
      <c r="I990" s="9" t="s">
        <v>652</v>
      </c>
      <c r="J990" s="15">
        <v>1920000</v>
      </c>
      <c r="K990" s="15">
        <v>320000</v>
      </c>
    </row>
    <row r="991" spans="1:11">
      <c r="A991" s="9">
        <f t="shared" si="15"/>
        <v>986</v>
      </c>
      <c r="B991" s="9" t="s">
        <v>1887</v>
      </c>
      <c r="C991" s="9" t="s">
        <v>53</v>
      </c>
      <c r="D991" s="9" t="s">
        <v>1922</v>
      </c>
      <c r="E991" s="9" t="s">
        <v>1921</v>
      </c>
      <c r="F991" s="9" t="s">
        <v>1921</v>
      </c>
      <c r="G991" s="9" t="s">
        <v>299</v>
      </c>
      <c r="H991" s="9" t="s">
        <v>300</v>
      </c>
      <c r="I991" s="9" t="s">
        <v>301</v>
      </c>
      <c r="J991" s="15">
        <v>204000</v>
      </c>
      <c r="K991" s="15">
        <v>34000</v>
      </c>
    </row>
    <row r="992" spans="1:11">
      <c r="A992" s="9">
        <f t="shared" si="15"/>
        <v>987</v>
      </c>
      <c r="B992" s="9" t="s">
        <v>1887</v>
      </c>
      <c r="C992" s="9" t="s">
        <v>53</v>
      </c>
      <c r="D992" s="9" t="s">
        <v>1923</v>
      </c>
      <c r="E992" s="9" t="s">
        <v>1921</v>
      </c>
      <c r="F992" s="9" t="s">
        <v>1921</v>
      </c>
      <c r="G992" s="9" t="s">
        <v>1908</v>
      </c>
      <c r="H992" s="9" t="s">
        <v>1620</v>
      </c>
      <c r="I992" s="9" t="s">
        <v>1909</v>
      </c>
      <c r="J992" s="15">
        <v>514950</v>
      </c>
      <c r="K992" s="15">
        <v>85825</v>
      </c>
    </row>
    <row r="993" spans="1:11">
      <c r="A993" s="9">
        <f t="shared" si="15"/>
        <v>988</v>
      </c>
      <c r="B993" s="9" t="s">
        <v>1887</v>
      </c>
      <c r="C993" s="9" t="s">
        <v>71</v>
      </c>
      <c r="D993" s="9" t="s">
        <v>198</v>
      </c>
      <c r="E993" s="9" t="s">
        <v>1902</v>
      </c>
      <c r="F993" s="9" t="s">
        <v>36</v>
      </c>
      <c r="G993" s="9" t="s">
        <v>74</v>
      </c>
      <c r="H993" s="9" t="s">
        <v>75</v>
      </c>
      <c r="I993" s="9" t="s">
        <v>38</v>
      </c>
      <c r="J993" s="15">
        <v>2020000</v>
      </c>
      <c r="K993" s="15">
        <v>336666.67</v>
      </c>
    </row>
    <row r="994" spans="1:11">
      <c r="A994" s="9">
        <f t="shared" si="15"/>
        <v>989</v>
      </c>
      <c r="B994" s="9" t="s">
        <v>1887</v>
      </c>
      <c r="C994" s="9" t="s">
        <v>53</v>
      </c>
      <c r="D994" s="9" t="s">
        <v>1924</v>
      </c>
      <c r="E994" s="9" t="s">
        <v>1925</v>
      </c>
      <c r="F994" s="9" t="s">
        <v>1925</v>
      </c>
      <c r="G994" s="9" t="s">
        <v>318</v>
      </c>
      <c r="H994" s="9" t="s">
        <v>864</v>
      </c>
      <c r="I994" s="9" t="s">
        <v>320</v>
      </c>
      <c r="J994" s="15">
        <v>5574</v>
      </c>
      <c r="K994" s="15">
        <v>823.84</v>
      </c>
    </row>
    <row r="995" spans="1:11">
      <c r="A995" s="9">
        <f t="shared" si="15"/>
        <v>990</v>
      </c>
      <c r="B995" s="9" t="s">
        <v>1887</v>
      </c>
      <c r="C995" s="9" t="s">
        <v>71</v>
      </c>
      <c r="D995" s="9" t="s">
        <v>212</v>
      </c>
      <c r="E995" s="9" t="s">
        <v>1925</v>
      </c>
      <c r="F995" s="9" t="s">
        <v>36</v>
      </c>
      <c r="G995" s="9" t="s">
        <v>74</v>
      </c>
      <c r="H995" s="9" t="s">
        <v>75</v>
      </c>
      <c r="I995" s="9" t="s">
        <v>38</v>
      </c>
      <c r="J995" s="15">
        <v>370000</v>
      </c>
      <c r="K995" s="15">
        <v>61666.67</v>
      </c>
    </row>
    <row r="996" spans="1:11">
      <c r="A996" s="9">
        <f t="shared" si="15"/>
        <v>991</v>
      </c>
      <c r="B996" s="9" t="s">
        <v>1887</v>
      </c>
      <c r="C996" s="9" t="s">
        <v>53</v>
      </c>
      <c r="D996" s="9" t="s">
        <v>1926</v>
      </c>
      <c r="E996" s="9" t="s">
        <v>1927</v>
      </c>
      <c r="F996" s="9" t="s">
        <v>1927</v>
      </c>
      <c r="G996" s="9" t="s">
        <v>983</v>
      </c>
      <c r="H996" s="9" t="s">
        <v>103</v>
      </c>
      <c r="I996" s="9" t="s">
        <v>984</v>
      </c>
      <c r="J996" s="15">
        <v>2075</v>
      </c>
      <c r="K996" s="15">
        <v>345.83</v>
      </c>
    </row>
    <row r="997" spans="1:11">
      <c r="A997" s="9">
        <f t="shared" si="15"/>
        <v>992</v>
      </c>
      <c r="B997" s="9" t="s">
        <v>1887</v>
      </c>
      <c r="C997" s="9" t="s">
        <v>53</v>
      </c>
      <c r="D997" s="9" t="s">
        <v>1928</v>
      </c>
      <c r="E997" s="9" t="s">
        <v>1929</v>
      </c>
      <c r="F997" s="9" t="s">
        <v>1929</v>
      </c>
      <c r="G997" s="9" t="s">
        <v>1290</v>
      </c>
      <c r="H997" s="9" t="s">
        <v>1291</v>
      </c>
      <c r="I997" s="9" t="s">
        <v>1292</v>
      </c>
      <c r="J997" s="15">
        <v>94838</v>
      </c>
      <c r="K997" s="15">
        <v>15806.33</v>
      </c>
    </row>
    <row r="998" spans="1:11">
      <c r="A998" s="9">
        <f t="shared" si="15"/>
        <v>993</v>
      </c>
      <c r="B998" s="9" t="s">
        <v>1887</v>
      </c>
      <c r="C998" s="9" t="s">
        <v>53</v>
      </c>
      <c r="D998" s="9" t="s">
        <v>1930</v>
      </c>
      <c r="E998" s="9" t="s">
        <v>1929</v>
      </c>
      <c r="F998" s="9" t="s">
        <v>1929</v>
      </c>
      <c r="G998" s="9" t="s">
        <v>1185</v>
      </c>
      <c r="H998" s="9" t="s">
        <v>75</v>
      </c>
      <c r="I998" s="9" t="s">
        <v>1186</v>
      </c>
      <c r="J998" s="15">
        <v>192786.87</v>
      </c>
      <c r="K998" s="15">
        <v>32131.14</v>
      </c>
    </row>
    <row r="999" spans="1:11">
      <c r="A999" s="9">
        <f t="shared" si="15"/>
        <v>994</v>
      </c>
      <c r="B999" s="9" t="s">
        <v>1887</v>
      </c>
      <c r="C999" s="9" t="s">
        <v>53</v>
      </c>
      <c r="D999" s="9" t="s">
        <v>1931</v>
      </c>
      <c r="E999" s="9" t="s">
        <v>1929</v>
      </c>
      <c r="F999" s="9" t="s">
        <v>1929</v>
      </c>
      <c r="G999" s="9" t="s">
        <v>1185</v>
      </c>
      <c r="H999" s="9" t="s">
        <v>75</v>
      </c>
      <c r="I999" s="9" t="s">
        <v>1186</v>
      </c>
      <c r="J999" s="15">
        <v>3000</v>
      </c>
      <c r="K999" s="15">
        <v>500</v>
      </c>
    </row>
    <row r="1000" spans="1:11">
      <c r="A1000" s="9">
        <f t="shared" si="15"/>
        <v>995</v>
      </c>
      <c r="B1000" s="9" t="s">
        <v>1887</v>
      </c>
      <c r="C1000" s="9" t="s">
        <v>53</v>
      </c>
      <c r="D1000" s="9" t="s">
        <v>1932</v>
      </c>
      <c r="E1000" s="9" t="s">
        <v>1929</v>
      </c>
      <c r="F1000" s="9" t="s">
        <v>1929</v>
      </c>
      <c r="G1000" s="9" t="s">
        <v>1185</v>
      </c>
      <c r="H1000" s="9" t="s">
        <v>75</v>
      </c>
      <c r="I1000" s="9" t="s">
        <v>1186</v>
      </c>
      <c r="J1000" s="15">
        <v>30000</v>
      </c>
      <c r="K1000" s="15">
        <v>5000</v>
      </c>
    </row>
    <row r="1001" spans="1:11">
      <c r="A1001" s="9">
        <f t="shared" si="15"/>
        <v>996</v>
      </c>
      <c r="B1001" s="9" t="s">
        <v>1887</v>
      </c>
      <c r="C1001" s="9" t="s">
        <v>53</v>
      </c>
      <c r="D1001" s="9" t="s">
        <v>1933</v>
      </c>
      <c r="E1001" s="9" t="s">
        <v>1929</v>
      </c>
      <c r="F1001" s="9" t="s">
        <v>1929</v>
      </c>
      <c r="G1001" s="9" t="s">
        <v>1185</v>
      </c>
      <c r="H1001" s="9" t="s">
        <v>75</v>
      </c>
      <c r="I1001" s="9" t="s">
        <v>1186</v>
      </c>
      <c r="J1001" s="15">
        <v>55343.96</v>
      </c>
      <c r="K1001" s="15">
        <v>9223.99</v>
      </c>
    </row>
    <row r="1002" spans="1:11">
      <c r="A1002" s="9">
        <f t="shared" si="15"/>
        <v>997</v>
      </c>
      <c r="B1002" s="9" t="s">
        <v>1887</v>
      </c>
      <c r="C1002" s="9" t="s">
        <v>53</v>
      </c>
      <c r="D1002" s="9" t="s">
        <v>1934</v>
      </c>
      <c r="E1002" s="9" t="s">
        <v>1935</v>
      </c>
      <c r="F1002" s="9" t="s">
        <v>1935</v>
      </c>
      <c r="G1002" s="9" t="s">
        <v>102</v>
      </c>
      <c r="H1002" s="9" t="s">
        <v>103</v>
      </c>
      <c r="I1002" s="9" t="s">
        <v>104</v>
      </c>
      <c r="J1002" s="15">
        <v>1730</v>
      </c>
      <c r="K1002" s="15">
        <v>288.33</v>
      </c>
    </row>
    <row r="1003" spans="1:11">
      <c r="A1003" s="9">
        <f t="shared" si="15"/>
        <v>998</v>
      </c>
      <c r="B1003" s="9" t="s">
        <v>1887</v>
      </c>
      <c r="C1003" s="9" t="s">
        <v>53</v>
      </c>
      <c r="D1003" s="9" t="s">
        <v>1936</v>
      </c>
      <c r="E1003" s="9" t="s">
        <v>1935</v>
      </c>
      <c r="F1003" s="9" t="s">
        <v>1935</v>
      </c>
      <c r="G1003" s="9" t="s">
        <v>102</v>
      </c>
      <c r="H1003" s="9" t="s">
        <v>103</v>
      </c>
      <c r="I1003" s="9" t="s">
        <v>104</v>
      </c>
      <c r="J1003" s="15">
        <v>5017</v>
      </c>
      <c r="K1003" s="15">
        <v>836.16</v>
      </c>
    </row>
    <row r="1004" spans="1:11" ht="30">
      <c r="A1004" s="9">
        <f t="shared" si="15"/>
        <v>999</v>
      </c>
      <c r="B1004" s="9" t="s">
        <v>1887</v>
      </c>
      <c r="C1004" s="9" t="s">
        <v>53</v>
      </c>
      <c r="D1004" s="9" t="s">
        <v>1937</v>
      </c>
      <c r="E1004" s="9" t="s">
        <v>1938</v>
      </c>
      <c r="F1004" s="9" t="s">
        <v>1938</v>
      </c>
      <c r="G1004" s="9" t="s">
        <v>1939</v>
      </c>
      <c r="H1004" s="9" t="s">
        <v>36</v>
      </c>
      <c r="I1004" s="9" t="s">
        <v>1940</v>
      </c>
      <c r="J1004" s="15">
        <v>3907.5</v>
      </c>
      <c r="K1004" s="15">
        <v>651.25</v>
      </c>
    </row>
    <row r="1005" spans="1:11">
      <c r="A1005" s="9">
        <f t="shared" si="15"/>
        <v>1000</v>
      </c>
      <c r="B1005" s="9" t="s">
        <v>1887</v>
      </c>
      <c r="C1005" s="9" t="s">
        <v>53</v>
      </c>
      <c r="D1005" s="9" t="s">
        <v>1941</v>
      </c>
      <c r="E1005" s="9" t="s">
        <v>1942</v>
      </c>
      <c r="F1005" s="9" t="s">
        <v>1942</v>
      </c>
      <c r="G1005" s="9" t="s">
        <v>650</v>
      </c>
      <c r="H1005" s="9" t="s">
        <v>651</v>
      </c>
      <c r="I1005" s="9" t="s">
        <v>652</v>
      </c>
      <c r="J1005" s="15">
        <v>94000</v>
      </c>
      <c r="K1005" s="15">
        <v>15666.67</v>
      </c>
    </row>
    <row r="1006" spans="1:11">
      <c r="A1006" s="9">
        <f t="shared" si="15"/>
        <v>1001</v>
      </c>
      <c r="B1006" s="9" t="s">
        <v>1887</v>
      </c>
      <c r="C1006" s="9" t="s">
        <v>53</v>
      </c>
      <c r="D1006" s="9" t="s">
        <v>1943</v>
      </c>
      <c r="E1006" s="9" t="s">
        <v>1944</v>
      </c>
      <c r="F1006" s="9" t="s">
        <v>1944</v>
      </c>
      <c r="G1006" s="9" t="s">
        <v>650</v>
      </c>
      <c r="H1006" s="9" t="s">
        <v>651</v>
      </c>
      <c r="I1006" s="9" t="s">
        <v>652</v>
      </c>
      <c r="J1006" s="15">
        <v>470000</v>
      </c>
      <c r="K1006" s="15">
        <v>78333.33</v>
      </c>
    </row>
    <row r="1007" spans="1:11">
      <c r="A1007" s="9">
        <f t="shared" si="15"/>
        <v>1002</v>
      </c>
      <c r="B1007" s="9" t="s">
        <v>1887</v>
      </c>
      <c r="C1007" s="9" t="s">
        <v>53</v>
      </c>
      <c r="D1007" s="9" t="s">
        <v>699</v>
      </c>
      <c r="E1007" s="9" t="s">
        <v>1944</v>
      </c>
      <c r="F1007" s="9" t="s">
        <v>1944</v>
      </c>
      <c r="G1007" s="9" t="s">
        <v>650</v>
      </c>
      <c r="H1007" s="9" t="s">
        <v>651</v>
      </c>
      <c r="I1007" s="9" t="s">
        <v>652</v>
      </c>
      <c r="J1007" s="15">
        <v>96000</v>
      </c>
      <c r="K1007" s="15">
        <v>16000</v>
      </c>
    </row>
    <row r="1008" spans="1:11">
      <c r="A1008" s="9">
        <f t="shared" si="15"/>
        <v>1003</v>
      </c>
      <c r="B1008" s="9" t="s">
        <v>1887</v>
      </c>
      <c r="C1008" s="9" t="s">
        <v>53</v>
      </c>
      <c r="D1008" s="9" t="s">
        <v>1945</v>
      </c>
      <c r="E1008" s="9" t="s">
        <v>1946</v>
      </c>
      <c r="F1008" s="9" t="s">
        <v>1946</v>
      </c>
      <c r="G1008" s="9" t="s">
        <v>313</v>
      </c>
      <c r="H1008" s="9" t="s">
        <v>314</v>
      </c>
      <c r="I1008" s="9" t="s">
        <v>315</v>
      </c>
      <c r="J1008" s="15">
        <v>36000</v>
      </c>
      <c r="K1008" s="15">
        <v>6000</v>
      </c>
    </row>
    <row r="1009" spans="1:11">
      <c r="A1009" s="9">
        <f t="shared" si="15"/>
        <v>1004</v>
      </c>
      <c r="B1009" s="9" t="s">
        <v>1887</v>
      </c>
      <c r="C1009" s="9" t="s">
        <v>71</v>
      </c>
      <c r="D1009" s="9" t="s">
        <v>224</v>
      </c>
      <c r="E1009" s="9" t="s">
        <v>1947</v>
      </c>
      <c r="F1009" s="9" t="s">
        <v>36</v>
      </c>
      <c r="G1009" s="9" t="s">
        <v>74</v>
      </c>
      <c r="H1009" s="9" t="s">
        <v>75</v>
      </c>
      <c r="I1009" s="9" t="s">
        <v>38</v>
      </c>
      <c r="J1009" s="15">
        <v>888000</v>
      </c>
      <c r="K1009" s="15">
        <v>148000</v>
      </c>
    </row>
    <row r="1010" spans="1:11">
      <c r="A1010" s="9">
        <f t="shared" si="15"/>
        <v>1005</v>
      </c>
      <c r="B1010" s="9" t="s">
        <v>1887</v>
      </c>
      <c r="C1010" s="9" t="s">
        <v>53</v>
      </c>
      <c r="D1010" s="9" t="s">
        <v>1948</v>
      </c>
      <c r="E1010" s="9" t="s">
        <v>1949</v>
      </c>
      <c r="F1010" s="9" t="s">
        <v>1949</v>
      </c>
      <c r="G1010" s="9" t="s">
        <v>1185</v>
      </c>
      <c r="H1010" s="9" t="s">
        <v>75</v>
      </c>
      <c r="I1010" s="9" t="s">
        <v>1186</v>
      </c>
      <c r="J1010" s="15">
        <v>49344.12</v>
      </c>
      <c r="K1010" s="15">
        <v>8224.02</v>
      </c>
    </row>
    <row r="1011" spans="1:11">
      <c r="A1011" s="9">
        <f t="shared" si="15"/>
        <v>1006</v>
      </c>
      <c r="B1011" s="9" t="s">
        <v>1887</v>
      </c>
      <c r="C1011" s="9" t="s">
        <v>53</v>
      </c>
      <c r="D1011" s="9" t="s">
        <v>199</v>
      </c>
      <c r="E1011" s="9" t="s">
        <v>1949</v>
      </c>
      <c r="F1011" s="9" t="s">
        <v>1949</v>
      </c>
      <c r="G1011" s="9" t="s">
        <v>1950</v>
      </c>
      <c r="H1011" s="9" t="s">
        <v>75</v>
      </c>
      <c r="I1011" s="9" t="s">
        <v>1951</v>
      </c>
      <c r="J1011" s="15">
        <v>36400</v>
      </c>
      <c r="K1011" s="15">
        <v>6066.66</v>
      </c>
    </row>
    <row r="1012" spans="1:11">
      <c r="A1012" s="9">
        <f t="shared" si="15"/>
        <v>1007</v>
      </c>
      <c r="B1012" s="9" t="s">
        <v>1887</v>
      </c>
      <c r="C1012" s="9" t="s">
        <v>71</v>
      </c>
      <c r="D1012" s="9" t="s">
        <v>463</v>
      </c>
      <c r="E1012" s="9" t="s">
        <v>1949</v>
      </c>
      <c r="F1012" s="9" t="s">
        <v>36</v>
      </c>
      <c r="G1012" s="9" t="s">
        <v>74</v>
      </c>
      <c r="H1012" s="9" t="s">
        <v>75</v>
      </c>
      <c r="I1012" s="9" t="s">
        <v>38</v>
      </c>
      <c r="J1012" s="15">
        <v>257500</v>
      </c>
      <c r="K1012" s="15">
        <v>42916.67</v>
      </c>
    </row>
    <row r="1013" spans="1:11">
      <c r="A1013" s="9">
        <f t="shared" si="15"/>
        <v>1008</v>
      </c>
      <c r="B1013" s="9" t="s">
        <v>1887</v>
      </c>
      <c r="C1013" s="9" t="s">
        <v>53</v>
      </c>
      <c r="D1013" s="9" t="s">
        <v>1952</v>
      </c>
      <c r="E1013" s="9" t="s">
        <v>1953</v>
      </c>
      <c r="F1013" s="9" t="s">
        <v>1953</v>
      </c>
      <c r="G1013" s="9" t="s">
        <v>1954</v>
      </c>
      <c r="H1013" s="9" t="s">
        <v>1698</v>
      </c>
      <c r="I1013" s="9" t="s">
        <v>1955</v>
      </c>
      <c r="J1013" s="15">
        <v>924975</v>
      </c>
      <c r="K1013" s="15">
        <v>154162.5</v>
      </c>
    </row>
    <row r="1014" spans="1:11">
      <c r="A1014" s="9">
        <f t="shared" si="15"/>
        <v>1009</v>
      </c>
      <c r="B1014" s="9" t="s">
        <v>1887</v>
      </c>
      <c r="C1014" s="9" t="s">
        <v>53</v>
      </c>
      <c r="D1014" s="9" t="s">
        <v>1956</v>
      </c>
      <c r="E1014" s="9" t="s">
        <v>1901</v>
      </c>
      <c r="F1014" s="9" t="s">
        <v>1901</v>
      </c>
      <c r="G1014" s="9" t="s">
        <v>313</v>
      </c>
      <c r="H1014" s="9" t="s">
        <v>314</v>
      </c>
      <c r="I1014" s="9" t="s">
        <v>315</v>
      </c>
      <c r="J1014" s="15">
        <v>36000</v>
      </c>
      <c r="K1014" s="15">
        <v>6000</v>
      </c>
    </row>
    <row r="1015" spans="1:11">
      <c r="A1015" s="9">
        <f t="shared" si="15"/>
        <v>1010</v>
      </c>
      <c r="B1015" s="9" t="s">
        <v>1887</v>
      </c>
      <c r="C1015" s="9" t="s">
        <v>53</v>
      </c>
      <c r="D1015" s="9" t="s">
        <v>1957</v>
      </c>
      <c r="E1015" s="9" t="s">
        <v>1901</v>
      </c>
      <c r="F1015" s="9" t="s">
        <v>1901</v>
      </c>
      <c r="G1015" s="9" t="s">
        <v>313</v>
      </c>
      <c r="H1015" s="9" t="s">
        <v>314</v>
      </c>
      <c r="I1015" s="9" t="s">
        <v>315</v>
      </c>
      <c r="J1015" s="15">
        <v>36000</v>
      </c>
      <c r="K1015" s="15">
        <v>6000</v>
      </c>
    </row>
    <row r="1016" spans="1:11">
      <c r="A1016" s="9">
        <f t="shared" si="15"/>
        <v>1011</v>
      </c>
      <c r="B1016" s="9" t="s">
        <v>1887</v>
      </c>
      <c r="C1016" s="9" t="s">
        <v>53</v>
      </c>
      <c r="D1016" s="9" t="s">
        <v>679</v>
      </c>
      <c r="E1016" s="9" t="s">
        <v>1901</v>
      </c>
      <c r="F1016" s="9" t="s">
        <v>1901</v>
      </c>
      <c r="G1016" s="9" t="s">
        <v>1958</v>
      </c>
      <c r="H1016" s="9" t="s">
        <v>327</v>
      </c>
      <c r="I1016" s="9" t="s">
        <v>1959</v>
      </c>
      <c r="J1016" s="15">
        <v>596928</v>
      </c>
      <c r="K1016" s="15">
        <v>99488</v>
      </c>
    </row>
    <row r="1017" spans="1:11">
      <c r="A1017" s="9">
        <f t="shared" si="15"/>
        <v>1012</v>
      </c>
      <c r="B1017" s="9" t="s">
        <v>1887</v>
      </c>
      <c r="C1017" s="9" t="s">
        <v>53</v>
      </c>
      <c r="D1017" s="9" t="s">
        <v>1960</v>
      </c>
      <c r="E1017" s="9" t="s">
        <v>1961</v>
      </c>
      <c r="F1017" s="9" t="s">
        <v>1961</v>
      </c>
      <c r="G1017" s="9" t="s">
        <v>102</v>
      </c>
      <c r="H1017" s="9" t="s">
        <v>103</v>
      </c>
      <c r="I1017" s="9" t="s">
        <v>104</v>
      </c>
      <c r="J1017" s="15">
        <v>3800</v>
      </c>
      <c r="K1017" s="15">
        <v>633.33000000000004</v>
      </c>
    </row>
    <row r="1018" spans="1:11">
      <c r="A1018" s="9">
        <f t="shared" si="15"/>
        <v>1013</v>
      </c>
      <c r="B1018" s="9" t="s">
        <v>1887</v>
      </c>
      <c r="C1018" s="9" t="s">
        <v>53</v>
      </c>
      <c r="D1018" s="9" t="s">
        <v>1962</v>
      </c>
      <c r="E1018" s="9" t="s">
        <v>1963</v>
      </c>
      <c r="F1018" s="9" t="s">
        <v>1963</v>
      </c>
      <c r="G1018" s="9" t="s">
        <v>1908</v>
      </c>
      <c r="H1018" s="9" t="s">
        <v>233</v>
      </c>
      <c r="I1018" s="9" t="s">
        <v>1909</v>
      </c>
      <c r="J1018" s="15">
        <v>419424</v>
      </c>
      <c r="K1018" s="15">
        <v>69904</v>
      </c>
    </row>
    <row r="1019" spans="1:11">
      <c r="A1019" s="9">
        <f t="shared" si="15"/>
        <v>1014</v>
      </c>
      <c r="B1019" s="9" t="s">
        <v>1887</v>
      </c>
      <c r="C1019" s="9" t="s">
        <v>71</v>
      </c>
      <c r="D1019" s="9" t="s">
        <v>476</v>
      </c>
      <c r="E1019" s="9" t="s">
        <v>1963</v>
      </c>
      <c r="F1019" s="9" t="s">
        <v>36</v>
      </c>
      <c r="G1019" s="9" t="s">
        <v>74</v>
      </c>
      <c r="H1019" s="9" t="s">
        <v>75</v>
      </c>
      <c r="I1019" s="9" t="s">
        <v>38</v>
      </c>
      <c r="J1019" s="15">
        <v>885780</v>
      </c>
      <c r="K1019" s="15">
        <v>141549.67000000001</v>
      </c>
    </row>
    <row r="1020" spans="1:11">
      <c r="A1020" s="9">
        <f t="shared" si="15"/>
        <v>1015</v>
      </c>
      <c r="B1020" s="9" t="s">
        <v>1887</v>
      </c>
      <c r="C1020" s="9" t="s">
        <v>53</v>
      </c>
      <c r="D1020" s="9" t="s">
        <v>1964</v>
      </c>
      <c r="E1020" s="9" t="s">
        <v>1965</v>
      </c>
      <c r="F1020" s="9" t="s">
        <v>1965</v>
      </c>
      <c r="G1020" s="9" t="s">
        <v>1290</v>
      </c>
      <c r="H1020" s="9" t="s">
        <v>1291</v>
      </c>
      <c r="I1020" s="9" t="s">
        <v>1292</v>
      </c>
      <c r="J1020" s="15">
        <v>0</v>
      </c>
      <c r="K1020" s="15">
        <v>15806.33</v>
      </c>
    </row>
    <row r="1021" spans="1:11">
      <c r="A1021" s="9">
        <f t="shared" si="15"/>
        <v>1016</v>
      </c>
      <c r="B1021" s="9" t="s">
        <v>1887</v>
      </c>
      <c r="C1021" s="9" t="s">
        <v>53</v>
      </c>
      <c r="D1021" s="9" t="s">
        <v>1476</v>
      </c>
      <c r="E1021" s="9" t="s">
        <v>1965</v>
      </c>
      <c r="F1021" s="9" t="s">
        <v>1965</v>
      </c>
      <c r="G1021" s="9" t="s">
        <v>1185</v>
      </c>
      <c r="H1021" s="9" t="s">
        <v>75</v>
      </c>
      <c r="I1021" s="9" t="s">
        <v>1186</v>
      </c>
      <c r="J1021" s="15">
        <v>193873.75</v>
      </c>
      <c r="K1021" s="15">
        <v>32312.3</v>
      </c>
    </row>
    <row r="1022" spans="1:11">
      <c r="A1022" s="9">
        <f t="shared" si="15"/>
        <v>1017</v>
      </c>
      <c r="B1022" s="9" t="s">
        <v>1887</v>
      </c>
      <c r="C1022" s="9" t="s">
        <v>53</v>
      </c>
      <c r="D1022" s="9" t="s">
        <v>1966</v>
      </c>
      <c r="E1022" s="9" t="s">
        <v>1965</v>
      </c>
      <c r="F1022" s="9" t="s">
        <v>1965</v>
      </c>
      <c r="G1022" s="9" t="s">
        <v>1185</v>
      </c>
      <c r="H1022" s="9" t="s">
        <v>75</v>
      </c>
      <c r="I1022" s="9" t="s">
        <v>1186</v>
      </c>
      <c r="J1022" s="15">
        <v>107.14</v>
      </c>
      <c r="K1022" s="15">
        <v>17.86</v>
      </c>
    </row>
    <row r="1023" spans="1:11">
      <c r="A1023" s="9">
        <f t="shared" si="15"/>
        <v>1018</v>
      </c>
      <c r="B1023" s="9" t="s">
        <v>1887</v>
      </c>
      <c r="C1023" s="9" t="s">
        <v>53</v>
      </c>
      <c r="D1023" s="9" t="s">
        <v>1967</v>
      </c>
      <c r="E1023" s="9" t="s">
        <v>1965</v>
      </c>
      <c r="F1023" s="9" t="s">
        <v>1965</v>
      </c>
      <c r="G1023" s="9" t="s">
        <v>1185</v>
      </c>
      <c r="H1023" s="9" t="s">
        <v>75</v>
      </c>
      <c r="I1023" s="9" t="s">
        <v>1186</v>
      </c>
      <c r="J1023" s="15">
        <v>30000</v>
      </c>
      <c r="K1023" s="15">
        <v>5000</v>
      </c>
    </row>
    <row r="1024" spans="1:11">
      <c r="A1024" s="9">
        <f t="shared" si="15"/>
        <v>1019</v>
      </c>
      <c r="B1024" s="9" t="s">
        <v>1887</v>
      </c>
      <c r="C1024" s="9" t="s">
        <v>53</v>
      </c>
      <c r="D1024" s="9" t="s">
        <v>1968</v>
      </c>
      <c r="E1024" s="9" t="s">
        <v>1965</v>
      </c>
      <c r="F1024" s="9" t="s">
        <v>1965</v>
      </c>
      <c r="G1024" s="9" t="s">
        <v>1908</v>
      </c>
      <c r="H1024" s="9" t="s">
        <v>233</v>
      </c>
      <c r="I1024" s="9" t="s">
        <v>1909</v>
      </c>
      <c r="J1024" s="15">
        <v>472600</v>
      </c>
      <c r="K1024" s="15">
        <v>78766.66</v>
      </c>
    </row>
    <row r="1025" spans="1:11">
      <c r="A1025" s="9">
        <f t="shared" si="15"/>
        <v>1020</v>
      </c>
      <c r="B1025" s="9" t="s">
        <v>1887</v>
      </c>
      <c r="C1025" s="9" t="s">
        <v>53</v>
      </c>
      <c r="D1025" s="9" t="s">
        <v>1969</v>
      </c>
      <c r="E1025" s="9" t="s">
        <v>1970</v>
      </c>
      <c r="F1025" s="9" t="s">
        <v>1970</v>
      </c>
      <c r="G1025" s="9" t="s">
        <v>650</v>
      </c>
      <c r="H1025" s="9" t="s">
        <v>651</v>
      </c>
      <c r="I1025" s="9" t="s">
        <v>652</v>
      </c>
      <c r="J1025" s="15">
        <v>76375</v>
      </c>
      <c r="K1025" s="15">
        <v>12729.16</v>
      </c>
    </row>
    <row r="1026" spans="1:11">
      <c r="A1026" s="9">
        <f t="shared" si="15"/>
        <v>1021</v>
      </c>
      <c r="B1026" s="9" t="s">
        <v>1887</v>
      </c>
      <c r="C1026" s="9" t="s">
        <v>53</v>
      </c>
      <c r="D1026" s="9" t="s">
        <v>1971</v>
      </c>
      <c r="E1026" s="9" t="s">
        <v>1970</v>
      </c>
      <c r="F1026" s="9" t="s">
        <v>1970</v>
      </c>
      <c r="G1026" s="9" t="s">
        <v>650</v>
      </c>
      <c r="H1026" s="9" t="s">
        <v>651</v>
      </c>
      <c r="I1026" s="9" t="s">
        <v>652</v>
      </c>
      <c r="J1026" s="15">
        <v>18800</v>
      </c>
      <c r="K1026" s="15">
        <v>3133.33</v>
      </c>
    </row>
    <row r="1027" spans="1:11">
      <c r="A1027" s="9">
        <f t="shared" si="15"/>
        <v>1022</v>
      </c>
      <c r="B1027" s="9" t="s">
        <v>1887</v>
      </c>
      <c r="C1027" s="9" t="s">
        <v>53</v>
      </c>
      <c r="D1027" s="9" t="s">
        <v>1972</v>
      </c>
      <c r="E1027" s="9" t="s">
        <v>1973</v>
      </c>
      <c r="F1027" s="9" t="s">
        <v>1973</v>
      </c>
      <c r="G1027" s="9" t="s">
        <v>650</v>
      </c>
      <c r="H1027" s="9" t="s">
        <v>651</v>
      </c>
      <c r="I1027" s="9" t="s">
        <v>652</v>
      </c>
      <c r="J1027" s="15">
        <v>525000</v>
      </c>
      <c r="K1027" s="15">
        <v>87500</v>
      </c>
    </row>
    <row r="1028" spans="1:11">
      <c r="A1028" s="9">
        <f t="shared" si="15"/>
        <v>1023</v>
      </c>
      <c r="B1028" s="9" t="s">
        <v>1887</v>
      </c>
      <c r="C1028" s="9" t="s">
        <v>71</v>
      </c>
      <c r="D1028" s="9" t="s">
        <v>465</v>
      </c>
      <c r="E1028" s="9" t="s">
        <v>1961</v>
      </c>
      <c r="F1028" s="9" t="s">
        <v>36</v>
      </c>
      <c r="G1028" s="9" t="s">
        <v>74</v>
      </c>
      <c r="H1028" s="9" t="s">
        <v>75</v>
      </c>
      <c r="I1028" s="9" t="s">
        <v>38</v>
      </c>
      <c r="J1028" s="15">
        <v>263390</v>
      </c>
      <c r="K1028" s="15">
        <v>43898.33</v>
      </c>
    </row>
    <row r="1029" spans="1:11">
      <c r="A1029" s="9">
        <f t="shared" si="15"/>
        <v>1024</v>
      </c>
      <c r="B1029" s="9" t="s">
        <v>1887</v>
      </c>
      <c r="C1029" s="9" t="s">
        <v>71</v>
      </c>
      <c r="D1029" s="9" t="s">
        <v>1370</v>
      </c>
      <c r="E1029" s="9" t="s">
        <v>1963</v>
      </c>
      <c r="F1029" s="9" t="s">
        <v>36</v>
      </c>
      <c r="G1029" s="9" t="s">
        <v>74</v>
      </c>
      <c r="H1029" s="9" t="s">
        <v>75</v>
      </c>
      <c r="I1029" s="9" t="s">
        <v>38</v>
      </c>
      <c r="J1029" s="15">
        <v>400000</v>
      </c>
      <c r="K1029" s="15">
        <v>66666.67</v>
      </c>
    </row>
    <row r="1030" spans="1:11">
      <c r="A1030" s="9">
        <f t="shared" si="15"/>
        <v>1025</v>
      </c>
      <c r="B1030" s="9" t="s">
        <v>1887</v>
      </c>
      <c r="C1030" s="9" t="s">
        <v>71</v>
      </c>
      <c r="D1030" s="9" t="s">
        <v>768</v>
      </c>
      <c r="E1030" s="9" t="s">
        <v>1973</v>
      </c>
      <c r="F1030" s="9" t="s">
        <v>36</v>
      </c>
      <c r="G1030" s="9" t="s">
        <v>74</v>
      </c>
      <c r="H1030" s="9" t="s">
        <v>75</v>
      </c>
      <c r="I1030" s="9" t="s">
        <v>38</v>
      </c>
      <c r="J1030" s="15">
        <v>150000</v>
      </c>
      <c r="K1030" s="15">
        <v>25000</v>
      </c>
    </row>
    <row r="1031" spans="1:11">
      <c r="A1031" s="9">
        <f t="shared" ref="A1031:A1094" si="16">A1030+1</f>
        <v>1026</v>
      </c>
      <c r="B1031" s="9" t="s">
        <v>1887</v>
      </c>
      <c r="C1031" s="9" t="s">
        <v>53</v>
      </c>
      <c r="D1031" s="9" t="s">
        <v>1974</v>
      </c>
      <c r="E1031" s="9" t="s">
        <v>1975</v>
      </c>
      <c r="F1031" s="9" t="s">
        <v>1975</v>
      </c>
      <c r="G1031" s="9" t="s">
        <v>1976</v>
      </c>
      <c r="H1031" s="9" t="s">
        <v>36</v>
      </c>
      <c r="I1031" s="9" t="s">
        <v>1977</v>
      </c>
      <c r="J1031" s="15">
        <v>4904</v>
      </c>
      <c r="K1031" s="15">
        <v>233.53</v>
      </c>
    </row>
    <row r="1032" spans="1:11">
      <c r="A1032" s="9">
        <f t="shared" si="16"/>
        <v>1027</v>
      </c>
      <c r="B1032" s="9" t="s">
        <v>1887</v>
      </c>
      <c r="C1032" s="9" t="s">
        <v>71</v>
      </c>
      <c r="D1032" s="9" t="s">
        <v>481</v>
      </c>
      <c r="E1032" s="9" t="s">
        <v>1975</v>
      </c>
      <c r="F1032" s="9" t="s">
        <v>36</v>
      </c>
      <c r="G1032" s="9" t="s">
        <v>74</v>
      </c>
      <c r="H1032" s="9" t="s">
        <v>75</v>
      </c>
      <c r="I1032" s="9" t="s">
        <v>38</v>
      </c>
      <c r="J1032" s="15">
        <v>269614</v>
      </c>
      <c r="K1032" s="15">
        <v>44935.67</v>
      </c>
    </row>
    <row r="1033" spans="1:11">
      <c r="A1033" s="9">
        <f t="shared" si="16"/>
        <v>1028</v>
      </c>
      <c r="B1033" s="9" t="s">
        <v>1887</v>
      </c>
      <c r="C1033" s="9" t="s">
        <v>53</v>
      </c>
      <c r="D1033" s="9" t="s">
        <v>1978</v>
      </c>
      <c r="E1033" s="9" t="s">
        <v>1979</v>
      </c>
      <c r="F1033" s="9" t="s">
        <v>1979</v>
      </c>
      <c r="G1033" s="9" t="s">
        <v>983</v>
      </c>
      <c r="H1033" s="9" t="s">
        <v>103</v>
      </c>
      <c r="I1033" s="9" t="s">
        <v>984</v>
      </c>
      <c r="J1033" s="15">
        <v>2189</v>
      </c>
      <c r="K1033" s="15">
        <v>364.83</v>
      </c>
    </row>
    <row r="1034" spans="1:11">
      <c r="A1034" s="9">
        <f t="shared" si="16"/>
        <v>1029</v>
      </c>
      <c r="B1034" s="9" t="s">
        <v>1887</v>
      </c>
      <c r="C1034" s="9" t="s">
        <v>53</v>
      </c>
      <c r="D1034" s="9" t="s">
        <v>1980</v>
      </c>
      <c r="E1034" s="9" t="s">
        <v>1981</v>
      </c>
      <c r="F1034" s="9" t="s">
        <v>1982</v>
      </c>
      <c r="G1034" s="9" t="s">
        <v>650</v>
      </c>
      <c r="H1034" s="9" t="s">
        <v>651</v>
      </c>
      <c r="I1034" s="9" t="s">
        <v>652</v>
      </c>
      <c r="J1034" s="15">
        <v>1656000</v>
      </c>
      <c r="K1034" s="15">
        <v>276000</v>
      </c>
    </row>
    <row r="1035" spans="1:11">
      <c r="A1035" s="9">
        <f t="shared" si="16"/>
        <v>1030</v>
      </c>
      <c r="B1035" s="9" t="s">
        <v>1887</v>
      </c>
      <c r="C1035" s="9" t="s">
        <v>71</v>
      </c>
      <c r="D1035" s="9" t="s">
        <v>1433</v>
      </c>
      <c r="E1035" s="9" t="s">
        <v>1982</v>
      </c>
      <c r="F1035" s="9" t="s">
        <v>36</v>
      </c>
      <c r="G1035" s="9" t="s">
        <v>74</v>
      </c>
      <c r="H1035" s="9" t="s">
        <v>75</v>
      </c>
      <c r="I1035" s="9" t="s">
        <v>38</v>
      </c>
      <c r="J1035" s="15">
        <v>1282614</v>
      </c>
      <c r="K1035" s="15">
        <v>213769</v>
      </c>
    </row>
    <row r="1036" spans="1:11">
      <c r="A1036" s="9">
        <f t="shared" si="16"/>
        <v>1031</v>
      </c>
      <c r="B1036" s="9" t="s">
        <v>1887</v>
      </c>
      <c r="C1036" s="9" t="s">
        <v>71</v>
      </c>
      <c r="D1036" s="9" t="s">
        <v>1400</v>
      </c>
      <c r="E1036" s="9" t="s">
        <v>1975</v>
      </c>
      <c r="F1036" s="9" t="s">
        <v>36</v>
      </c>
      <c r="G1036" s="9" t="s">
        <v>74</v>
      </c>
      <c r="H1036" s="9" t="s">
        <v>75</v>
      </c>
      <c r="I1036" s="9" t="s">
        <v>38</v>
      </c>
      <c r="J1036" s="15">
        <v>515000</v>
      </c>
      <c r="K1036" s="15">
        <v>85833.33</v>
      </c>
    </row>
    <row r="1037" spans="1:11">
      <c r="A1037" s="9">
        <f t="shared" si="16"/>
        <v>1032</v>
      </c>
      <c r="B1037" s="9" t="s">
        <v>1887</v>
      </c>
      <c r="C1037" s="9" t="s">
        <v>71</v>
      </c>
      <c r="D1037" s="9" t="s">
        <v>1013</v>
      </c>
      <c r="E1037" s="9" t="s">
        <v>1983</v>
      </c>
      <c r="F1037" s="9" t="s">
        <v>36</v>
      </c>
      <c r="G1037" s="9" t="s">
        <v>74</v>
      </c>
      <c r="H1037" s="9" t="s">
        <v>75</v>
      </c>
      <c r="I1037" s="9" t="s">
        <v>38</v>
      </c>
      <c r="J1037" s="15">
        <v>494614</v>
      </c>
      <c r="K1037" s="15">
        <v>82435.67</v>
      </c>
    </row>
    <row r="1038" spans="1:11">
      <c r="A1038" s="9">
        <f t="shared" si="16"/>
        <v>1033</v>
      </c>
      <c r="B1038" s="9" t="s">
        <v>1887</v>
      </c>
      <c r="C1038" s="9" t="s">
        <v>53</v>
      </c>
      <c r="D1038" s="9" t="s">
        <v>1984</v>
      </c>
      <c r="E1038" s="9" t="s">
        <v>1985</v>
      </c>
      <c r="F1038" s="9" t="s">
        <v>1985</v>
      </c>
      <c r="G1038" s="9" t="s">
        <v>162</v>
      </c>
      <c r="H1038" s="9" t="s">
        <v>163</v>
      </c>
      <c r="I1038" s="9" t="s">
        <v>164</v>
      </c>
      <c r="J1038" s="15">
        <v>26700</v>
      </c>
      <c r="K1038" s="15">
        <v>4450</v>
      </c>
    </row>
    <row r="1039" spans="1:11" ht="30">
      <c r="A1039" s="9">
        <f t="shared" si="16"/>
        <v>1034</v>
      </c>
      <c r="B1039" s="9" t="s">
        <v>1887</v>
      </c>
      <c r="C1039" s="9" t="s">
        <v>53</v>
      </c>
      <c r="D1039" s="9" t="s">
        <v>1986</v>
      </c>
      <c r="E1039" s="9" t="s">
        <v>1985</v>
      </c>
      <c r="F1039" s="9" t="s">
        <v>1985</v>
      </c>
      <c r="G1039" s="9" t="s">
        <v>262</v>
      </c>
      <c r="H1039" s="9" t="s">
        <v>1494</v>
      </c>
      <c r="I1039" s="9" t="s">
        <v>264</v>
      </c>
      <c r="J1039" s="15">
        <v>191060</v>
      </c>
      <c r="K1039" s="15">
        <v>31843.33</v>
      </c>
    </row>
    <row r="1040" spans="1:11">
      <c r="A1040" s="9">
        <f t="shared" si="16"/>
        <v>1035</v>
      </c>
      <c r="B1040" s="9" t="s">
        <v>1887</v>
      </c>
      <c r="C1040" s="9" t="s">
        <v>53</v>
      </c>
      <c r="D1040" s="9" t="s">
        <v>1987</v>
      </c>
      <c r="E1040" s="9" t="s">
        <v>1988</v>
      </c>
      <c r="F1040" s="9" t="s">
        <v>1988</v>
      </c>
      <c r="G1040" s="9" t="s">
        <v>1863</v>
      </c>
      <c r="H1040" s="9" t="s">
        <v>1698</v>
      </c>
      <c r="I1040" s="9" t="s">
        <v>1864</v>
      </c>
      <c r="J1040" s="15">
        <v>58000</v>
      </c>
      <c r="K1040" s="15">
        <v>9666.67</v>
      </c>
    </row>
    <row r="1041" spans="1:11">
      <c r="A1041" s="9">
        <f t="shared" si="16"/>
        <v>1036</v>
      </c>
      <c r="B1041" s="9" t="s">
        <v>1887</v>
      </c>
      <c r="C1041" s="9" t="s">
        <v>53</v>
      </c>
      <c r="D1041" s="9" t="s">
        <v>1989</v>
      </c>
      <c r="E1041" s="9" t="s">
        <v>1981</v>
      </c>
      <c r="F1041" s="9" t="s">
        <v>1981</v>
      </c>
      <c r="G1041" s="9" t="s">
        <v>1185</v>
      </c>
      <c r="H1041" s="9" t="s">
        <v>75</v>
      </c>
      <c r="I1041" s="9" t="s">
        <v>1186</v>
      </c>
      <c r="J1041" s="15">
        <v>46051.83</v>
      </c>
      <c r="K1041" s="15">
        <v>7675.31</v>
      </c>
    </row>
    <row r="1042" spans="1:11">
      <c r="A1042" s="9">
        <f t="shared" si="16"/>
        <v>1037</v>
      </c>
      <c r="B1042" s="9" t="s">
        <v>1887</v>
      </c>
      <c r="C1042" s="9" t="s">
        <v>53</v>
      </c>
      <c r="D1042" s="9" t="s">
        <v>1990</v>
      </c>
      <c r="E1042" s="9" t="s">
        <v>1981</v>
      </c>
      <c r="F1042" s="9" t="s">
        <v>1981</v>
      </c>
      <c r="G1042" s="9" t="s">
        <v>983</v>
      </c>
      <c r="H1042" s="9" t="s">
        <v>103</v>
      </c>
      <c r="I1042" s="9" t="s">
        <v>984</v>
      </c>
      <c r="J1042" s="15">
        <v>10732</v>
      </c>
      <c r="K1042" s="15">
        <v>511.05</v>
      </c>
    </row>
    <row r="1043" spans="1:11">
      <c r="A1043" s="9">
        <f t="shared" si="16"/>
        <v>1038</v>
      </c>
      <c r="B1043" s="9" t="s">
        <v>1887</v>
      </c>
      <c r="C1043" s="9" t="s">
        <v>53</v>
      </c>
      <c r="D1043" s="9" t="s">
        <v>1991</v>
      </c>
      <c r="E1043" s="9" t="s">
        <v>1981</v>
      </c>
      <c r="F1043" s="9" t="s">
        <v>1981</v>
      </c>
      <c r="G1043" s="9" t="s">
        <v>102</v>
      </c>
      <c r="H1043" s="9" t="s">
        <v>103</v>
      </c>
      <c r="I1043" s="9" t="s">
        <v>104</v>
      </c>
      <c r="J1043" s="15">
        <v>4000</v>
      </c>
      <c r="K1043" s="15">
        <v>666.67</v>
      </c>
    </row>
    <row r="1044" spans="1:11">
      <c r="A1044" s="9">
        <f t="shared" si="16"/>
        <v>1039</v>
      </c>
      <c r="B1044" s="9" t="s">
        <v>1887</v>
      </c>
      <c r="C1044" s="9" t="s">
        <v>71</v>
      </c>
      <c r="D1044" s="9" t="s">
        <v>1053</v>
      </c>
      <c r="E1044" s="9" t="s">
        <v>1992</v>
      </c>
      <c r="F1044" s="9" t="s">
        <v>36</v>
      </c>
      <c r="G1044" s="9" t="s">
        <v>74</v>
      </c>
      <c r="H1044" s="9" t="s">
        <v>75</v>
      </c>
      <c r="I1044" s="9" t="s">
        <v>38</v>
      </c>
      <c r="J1044" s="15">
        <v>914614</v>
      </c>
      <c r="K1044" s="15">
        <v>152435.67000000001</v>
      </c>
    </row>
    <row r="1045" spans="1:11">
      <c r="A1045" s="9">
        <f t="shared" si="16"/>
        <v>1040</v>
      </c>
      <c r="B1045" s="9" t="s">
        <v>1887</v>
      </c>
      <c r="C1045" s="9" t="s">
        <v>53</v>
      </c>
      <c r="D1045" s="9" t="s">
        <v>1993</v>
      </c>
      <c r="E1045" s="9" t="s">
        <v>1994</v>
      </c>
      <c r="F1045" s="9" t="s">
        <v>1995</v>
      </c>
      <c r="G1045" s="9" t="s">
        <v>650</v>
      </c>
      <c r="H1045" s="9" t="s">
        <v>651</v>
      </c>
      <c r="I1045" s="9" t="s">
        <v>652</v>
      </c>
      <c r="J1045" s="15">
        <v>460000</v>
      </c>
      <c r="K1045" s="15">
        <v>76666.67</v>
      </c>
    </row>
    <row r="1046" spans="1:11">
      <c r="A1046" s="9">
        <f t="shared" si="16"/>
        <v>1041</v>
      </c>
      <c r="B1046" s="9" t="s">
        <v>1887</v>
      </c>
      <c r="C1046" s="9" t="s">
        <v>53</v>
      </c>
      <c r="D1046" s="9" t="s">
        <v>1996</v>
      </c>
      <c r="E1046" s="9" t="s">
        <v>1995</v>
      </c>
      <c r="F1046" s="9" t="s">
        <v>1995</v>
      </c>
      <c r="G1046" s="9" t="s">
        <v>650</v>
      </c>
      <c r="H1046" s="9" t="s">
        <v>651</v>
      </c>
      <c r="I1046" s="9" t="s">
        <v>652</v>
      </c>
      <c r="J1046" s="15">
        <v>1840000</v>
      </c>
      <c r="K1046" s="15">
        <v>306666.67</v>
      </c>
    </row>
    <row r="1047" spans="1:11">
      <c r="A1047" s="9">
        <f t="shared" si="16"/>
        <v>1042</v>
      </c>
      <c r="B1047" s="9" t="s">
        <v>1887</v>
      </c>
      <c r="C1047" s="9" t="s">
        <v>71</v>
      </c>
      <c r="D1047" s="9" t="s">
        <v>341</v>
      </c>
      <c r="E1047" s="9" t="s">
        <v>1949</v>
      </c>
      <c r="F1047" s="9" t="s">
        <v>36</v>
      </c>
      <c r="G1047" s="9" t="s">
        <v>74</v>
      </c>
      <c r="H1047" s="9" t="s">
        <v>75</v>
      </c>
      <c r="I1047" s="9" t="s">
        <v>38</v>
      </c>
      <c r="J1047" s="15">
        <v>27824</v>
      </c>
      <c r="K1047" s="15">
        <v>4637.33</v>
      </c>
    </row>
    <row r="1048" spans="1:11">
      <c r="A1048" s="9">
        <f t="shared" si="16"/>
        <v>1043</v>
      </c>
      <c r="B1048" s="9" t="s">
        <v>1887</v>
      </c>
      <c r="C1048" s="9" t="s">
        <v>71</v>
      </c>
      <c r="D1048" s="9" t="s">
        <v>1052</v>
      </c>
      <c r="E1048" s="9" t="s">
        <v>1988</v>
      </c>
      <c r="F1048" s="9" t="s">
        <v>36</v>
      </c>
      <c r="G1048" s="9" t="s">
        <v>74</v>
      </c>
      <c r="H1048" s="9" t="s">
        <v>75</v>
      </c>
      <c r="I1048" s="9" t="s">
        <v>38</v>
      </c>
      <c r="J1048" s="15">
        <v>370000</v>
      </c>
      <c r="K1048" s="15">
        <v>61666.67</v>
      </c>
    </row>
    <row r="1049" spans="1:11">
      <c r="A1049" s="9">
        <f t="shared" si="16"/>
        <v>1044</v>
      </c>
      <c r="B1049" s="9" t="s">
        <v>1887</v>
      </c>
      <c r="C1049" s="9" t="s">
        <v>53</v>
      </c>
      <c r="D1049" s="9" t="s">
        <v>1997</v>
      </c>
      <c r="E1049" s="9" t="s">
        <v>1998</v>
      </c>
      <c r="F1049" s="9" t="s">
        <v>1998</v>
      </c>
      <c r="G1049" s="9" t="s">
        <v>983</v>
      </c>
      <c r="H1049" s="9" t="s">
        <v>103</v>
      </c>
      <c r="I1049" s="9" t="s">
        <v>984</v>
      </c>
      <c r="J1049" s="15">
        <v>6000</v>
      </c>
      <c r="K1049" s="15">
        <v>1000</v>
      </c>
    </row>
    <row r="1050" spans="1:11">
      <c r="A1050" s="9">
        <f t="shared" si="16"/>
        <v>1045</v>
      </c>
      <c r="B1050" s="9" t="s">
        <v>1887</v>
      </c>
      <c r="C1050" s="9" t="s">
        <v>53</v>
      </c>
      <c r="D1050" s="9" t="s">
        <v>1999</v>
      </c>
      <c r="E1050" s="9" t="s">
        <v>2000</v>
      </c>
      <c r="F1050" s="9" t="s">
        <v>2000</v>
      </c>
      <c r="G1050" s="9" t="s">
        <v>318</v>
      </c>
      <c r="H1050" s="9" t="s">
        <v>864</v>
      </c>
      <c r="I1050" s="9" t="s">
        <v>320</v>
      </c>
      <c r="J1050" s="15">
        <v>1434</v>
      </c>
      <c r="K1050" s="15">
        <v>216.5</v>
      </c>
    </row>
    <row r="1051" spans="1:11">
      <c r="A1051" s="9">
        <f t="shared" si="16"/>
        <v>1046</v>
      </c>
      <c r="B1051" s="9" t="s">
        <v>1887</v>
      </c>
      <c r="C1051" s="9" t="s">
        <v>53</v>
      </c>
      <c r="D1051" s="9" t="s">
        <v>2001</v>
      </c>
      <c r="E1051" s="9" t="s">
        <v>2002</v>
      </c>
      <c r="F1051" s="9" t="s">
        <v>2002</v>
      </c>
      <c r="G1051" s="9" t="s">
        <v>650</v>
      </c>
      <c r="H1051" s="9" t="s">
        <v>651</v>
      </c>
      <c r="I1051" s="9" t="s">
        <v>652</v>
      </c>
      <c r="J1051" s="15">
        <v>955000</v>
      </c>
      <c r="K1051" s="15">
        <v>159166.67000000001</v>
      </c>
    </row>
    <row r="1052" spans="1:11">
      <c r="A1052" s="9">
        <f t="shared" si="16"/>
        <v>1047</v>
      </c>
      <c r="B1052" s="9" t="s">
        <v>1887</v>
      </c>
      <c r="C1052" s="9" t="s">
        <v>71</v>
      </c>
      <c r="D1052" s="9" t="s">
        <v>1099</v>
      </c>
      <c r="E1052" s="9" t="s">
        <v>2002</v>
      </c>
      <c r="F1052" s="9" t="s">
        <v>36</v>
      </c>
      <c r="G1052" s="9" t="s">
        <v>74</v>
      </c>
      <c r="H1052" s="9" t="s">
        <v>75</v>
      </c>
      <c r="I1052" s="9" t="s">
        <v>38</v>
      </c>
      <c r="J1052" s="15">
        <v>5200</v>
      </c>
      <c r="K1052" s="15">
        <v>866.67</v>
      </c>
    </row>
    <row r="1053" spans="1:11">
      <c r="A1053" s="9">
        <f t="shared" si="16"/>
        <v>1048</v>
      </c>
      <c r="B1053" s="9" t="s">
        <v>1887</v>
      </c>
      <c r="C1053" s="9" t="s">
        <v>53</v>
      </c>
      <c r="D1053" s="9" t="s">
        <v>2003</v>
      </c>
      <c r="E1053" s="9" t="s">
        <v>2004</v>
      </c>
      <c r="F1053" s="9" t="s">
        <v>2004</v>
      </c>
      <c r="G1053" s="9" t="s">
        <v>650</v>
      </c>
      <c r="H1053" s="9" t="s">
        <v>651</v>
      </c>
      <c r="I1053" s="9" t="s">
        <v>652</v>
      </c>
      <c r="J1053" s="15">
        <v>955000</v>
      </c>
      <c r="K1053" s="15">
        <v>159166.67000000001</v>
      </c>
    </row>
    <row r="1054" spans="1:11">
      <c r="A1054" s="9">
        <f t="shared" si="16"/>
        <v>1049</v>
      </c>
      <c r="B1054" s="9" t="s">
        <v>1887</v>
      </c>
      <c r="C1054" s="9" t="s">
        <v>53</v>
      </c>
      <c r="D1054" s="9" t="s">
        <v>2005</v>
      </c>
      <c r="E1054" s="9" t="s">
        <v>2006</v>
      </c>
      <c r="F1054" s="9" t="s">
        <v>2006</v>
      </c>
      <c r="G1054" s="9" t="s">
        <v>1290</v>
      </c>
      <c r="H1054" s="9" t="s">
        <v>1291</v>
      </c>
      <c r="I1054" s="9" t="s">
        <v>1292</v>
      </c>
      <c r="J1054" s="15">
        <v>0</v>
      </c>
      <c r="K1054" s="15">
        <v>15806.33</v>
      </c>
    </row>
    <row r="1055" spans="1:11">
      <c r="A1055" s="9">
        <f t="shared" si="16"/>
        <v>1050</v>
      </c>
      <c r="B1055" s="9" t="s">
        <v>1887</v>
      </c>
      <c r="C1055" s="9" t="s">
        <v>53</v>
      </c>
      <c r="D1055" s="9" t="s">
        <v>2007</v>
      </c>
      <c r="E1055" s="9" t="s">
        <v>2006</v>
      </c>
      <c r="F1055" s="9" t="s">
        <v>2006</v>
      </c>
      <c r="G1055" s="9" t="s">
        <v>650</v>
      </c>
      <c r="H1055" s="9" t="s">
        <v>651</v>
      </c>
      <c r="I1055" s="9" t="s">
        <v>652</v>
      </c>
      <c r="J1055" s="15">
        <v>1878000</v>
      </c>
      <c r="K1055" s="15">
        <v>313000</v>
      </c>
    </row>
    <row r="1056" spans="1:11">
      <c r="A1056" s="9">
        <f t="shared" si="16"/>
        <v>1051</v>
      </c>
      <c r="B1056" s="9" t="s">
        <v>1887</v>
      </c>
      <c r="C1056" s="9" t="s">
        <v>53</v>
      </c>
      <c r="D1056" s="9" t="s">
        <v>2008</v>
      </c>
      <c r="E1056" s="9" t="s">
        <v>2006</v>
      </c>
      <c r="F1056" s="9" t="s">
        <v>2006</v>
      </c>
      <c r="G1056" s="9" t="s">
        <v>1185</v>
      </c>
      <c r="H1056" s="9" t="s">
        <v>75</v>
      </c>
      <c r="I1056" s="9" t="s">
        <v>1186</v>
      </c>
      <c r="J1056" s="15">
        <v>194824.77</v>
      </c>
      <c r="K1056" s="15">
        <v>32470.79</v>
      </c>
    </row>
    <row r="1057" spans="1:11">
      <c r="A1057" s="9">
        <f t="shared" si="16"/>
        <v>1052</v>
      </c>
      <c r="B1057" s="9" t="s">
        <v>1887</v>
      </c>
      <c r="C1057" s="9" t="s">
        <v>53</v>
      </c>
      <c r="D1057" s="9" t="s">
        <v>2009</v>
      </c>
      <c r="E1057" s="9" t="s">
        <v>2006</v>
      </c>
      <c r="F1057" s="9" t="s">
        <v>2006</v>
      </c>
      <c r="G1057" s="9" t="s">
        <v>1954</v>
      </c>
      <c r="H1057" s="9" t="s">
        <v>1698</v>
      </c>
      <c r="I1057" s="9" t="s">
        <v>1955</v>
      </c>
      <c r="J1057" s="15">
        <v>924975</v>
      </c>
      <c r="K1057" s="15">
        <v>154162.5</v>
      </c>
    </row>
    <row r="1058" spans="1:11">
      <c r="A1058" s="9">
        <f t="shared" si="16"/>
        <v>1053</v>
      </c>
      <c r="B1058" s="9" t="s">
        <v>1887</v>
      </c>
      <c r="C1058" s="9" t="s">
        <v>53</v>
      </c>
      <c r="D1058" s="9" t="s">
        <v>2010</v>
      </c>
      <c r="E1058" s="9" t="s">
        <v>2006</v>
      </c>
      <c r="F1058" s="9" t="s">
        <v>2006</v>
      </c>
      <c r="G1058" s="9" t="s">
        <v>1382</v>
      </c>
      <c r="H1058" s="9" t="s">
        <v>1383</v>
      </c>
      <c r="I1058" s="9" t="s">
        <v>1384</v>
      </c>
      <c r="J1058" s="15">
        <v>472.14</v>
      </c>
      <c r="K1058" s="15">
        <v>78.69</v>
      </c>
    </row>
    <row r="1059" spans="1:11">
      <c r="A1059" s="9">
        <f t="shared" si="16"/>
        <v>1054</v>
      </c>
      <c r="B1059" s="9" t="s">
        <v>1887</v>
      </c>
      <c r="C1059" s="9" t="s">
        <v>53</v>
      </c>
      <c r="D1059" s="9" t="s">
        <v>2011</v>
      </c>
      <c r="E1059" s="9" t="s">
        <v>2006</v>
      </c>
      <c r="F1059" s="9" t="s">
        <v>2006</v>
      </c>
      <c r="G1059" s="9" t="s">
        <v>102</v>
      </c>
      <c r="H1059" s="9" t="s">
        <v>103</v>
      </c>
      <c r="I1059" s="9" t="s">
        <v>104</v>
      </c>
      <c r="J1059" s="15">
        <v>3700</v>
      </c>
      <c r="K1059" s="15">
        <v>616.66999999999996</v>
      </c>
    </row>
    <row r="1060" spans="1:11">
      <c r="A1060" s="9">
        <f t="shared" si="16"/>
        <v>1055</v>
      </c>
      <c r="B1060" s="9" t="s">
        <v>2012</v>
      </c>
      <c r="C1060" s="9" t="s">
        <v>71</v>
      </c>
      <c r="D1060" s="9" t="s">
        <v>1135</v>
      </c>
      <c r="E1060" s="9" t="s">
        <v>2000</v>
      </c>
      <c r="F1060" s="9" t="s">
        <v>36</v>
      </c>
      <c r="G1060" s="9" t="s">
        <v>74</v>
      </c>
      <c r="H1060" s="9" t="s">
        <v>75</v>
      </c>
      <c r="I1060" s="9" t="s">
        <v>38</v>
      </c>
      <c r="J1060" s="15">
        <v>5250</v>
      </c>
      <c r="K1060" s="15">
        <v>875</v>
      </c>
    </row>
    <row r="1061" spans="1:11">
      <c r="A1061" s="9">
        <f t="shared" si="16"/>
        <v>1056</v>
      </c>
      <c r="B1061" s="9" t="s">
        <v>2012</v>
      </c>
      <c r="C1061" s="9" t="s">
        <v>53</v>
      </c>
      <c r="D1061" s="9" t="s">
        <v>2013</v>
      </c>
      <c r="E1061" s="9" t="s">
        <v>1970</v>
      </c>
      <c r="F1061" s="9" t="s">
        <v>2014</v>
      </c>
      <c r="G1061" s="9" t="s">
        <v>2015</v>
      </c>
      <c r="H1061" s="9" t="s">
        <v>2016</v>
      </c>
      <c r="I1061" s="9" t="s">
        <v>2017</v>
      </c>
      <c r="J1061" s="15">
        <v>38500</v>
      </c>
      <c r="K1061" s="15">
        <v>6416.67</v>
      </c>
    </row>
    <row r="1062" spans="1:11">
      <c r="A1062" s="9">
        <f t="shared" si="16"/>
        <v>1057</v>
      </c>
      <c r="B1062" s="9" t="s">
        <v>2012</v>
      </c>
      <c r="C1062" s="9" t="s">
        <v>53</v>
      </c>
      <c r="D1062" s="9" t="s">
        <v>2018</v>
      </c>
      <c r="E1062" s="9" t="s">
        <v>2014</v>
      </c>
      <c r="F1062" s="9" t="s">
        <v>2014</v>
      </c>
      <c r="G1062" s="9" t="s">
        <v>650</v>
      </c>
      <c r="H1062" s="9" t="s">
        <v>651</v>
      </c>
      <c r="I1062" s="9" t="s">
        <v>652</v>
      </c>
      <c r="J1062" s="15">
        <v>4700</v>
      </c>
      <c r="K1062" s="15">
        <v>783.33</v>
      </c>
    </row>
    <row r="1063" spans="1:11">
      <c r="A1063" s="9">
        <f t="shared" si="16"/>
        <v>1058</v>
      </c>
      <c r="B1063" s="9" t="s">
        <v>2012</v>
      </c>
      <c r="C1063" s="9" t="s">
        <v>53</v>
      </c>
      <c r="D1063" s="9" t="s">
        <v>2019</v>
      </c>
      <c r="E1063" s="9" t="s">
        <v>2020</v>
      </c>
      <c r="F1063" s="9" t="s">
        <v>2020</v>
      </c>
      <c r="G1063" s="9" t="s">
        <v>983</v>
      </c>
      <c r="H1063" s="9" t="s">
        <v>103</v>
      </c>
      <c r="I1063" s="9" t="s">
        <v>984</v>
      </c>
      <c r="J1063" s="15">
        <v>2189</v>
      </c>
      <c r="K1063" s="15">
        <v>364.83</v>
      </c>
    </row>
    <row r="1064" spans="1:11">
      <c r="A1064" s="9">
        <f t="shared" si="16"/>
        <v>1059</v>
      </c>
      <c r="B1064" s="9" t="s">
        <v>2012</v>
      </c>
      <c r="C1064" s="9" t="s">
        <v>53</v>
      </c>
      <c r="D1064" s="9" t="s">
        <v>2021</v>
      </c>
      <c r="E1064" s="9" t="s">
        <v>2020</v>
      </c>
      <c r="F1064" s="9" t="s">
        <v>2020</v>
      </c>
      <c r="G1064" s="9" t="s">
        <v>313</v>
      </c>
      <c r="H1064" s="9" t="s">
        <v>314</v>
      </c>
      <c r="I1064" s="9" t="s">
        <v>315</v>
      </c>
      <c r="J1064" s="15">
        <v>72000</v>
      </c>
      <c r="K1064" s="15">
        <v>12000</v>
      </c>
    </row>
    <row r="1065" spans="1:11">
      <c r="A1065" s="9">
        <f t="shared" si="16"/>
        <v>1060</v>
      </c>
      <c r="B1065" s="9" t="s">
        <v>2012</v>
      </c>
      <c r="C1065" s="9" t="s">
        <v>71</v>
      </c>
      <c r="D1065" s="9" t="s">
        <v>1083</v>
      </c>
      <c r="E1065" s="9" t="s">
        <v>1998</v>
      </c>
      <c r="F1065" s="9" t="s">
        <v>36</v>
      </c>
      <c r="G1065" s="9" t="s">
        <v>74</v>
      </c>
      <c r="H1065" s="9" t="s">
        <v>75</v>
      </c>
      <c r="I1065" s="9" t="s">
        <v>38</v>
      </c>
      <c r="J1065" s="15">
        <v>500000</v>
      </c>
      <c r="K1065" s="15">
        <v>83333.33</v>
      </c>
    </row>
    <row r="1066" spans="1:11">
      <c r="A1066" s="9">
        <f t="shared" si="16"/>
        <v>1061</v>
      </c>
      <c r="B1066" s="9" t="s">
        <v>2012</v>
      </c>
      <c r="C1066" s="9" t="s">
        <v>71</v>
      </c>
      <c r="D1066" s="9" t="s">
        <v>1101</v>
      </c>
      <c r="E1066" s="9" t="s">
        <v>2022</v>
      </c>
      <c r="F1066" s="9" t="s">
        <v>36</v>
      </c>
      <c r="G1066" s="9" t="s">
        <v>74</v>
      </c>
      <c r="H1066" s="9" t="s">
        <v>75</v>
      </c>
      <c r="I1066" s="9" t="s">
        <v>38</v>
      </c>
      <c r="J1066" s="15">
        <v>400000</v>
      </c>
      <c r="K1066" s="15">
        <v>66666.67</v>
      </c>
    </row>
    <row r="1067" spans="1:11">
      <c r="A1067" s="9">
        <f t="shared" si="16"/>
        <v>1062</v>
      </c>
      <c r="B1067" s="9" t="s">
        <v>2012</v>
      </c>
      <c r="C1067" s="9" t="s">
        <v>53</v>
      </c>
      <c r="D1067" s="9" t="s">
        <v>2023</v>
      </c>
      <c r="E1067" s="9" t="s">
        <v>2024</v>
      </c>
      <c r="F1067" s="9" t="s">
        <v>2024</v>
      </c>
      <c r="G1067" s="9" t="s">
        <v>313</v>
      </c>
      <c r="H1067" s="9" t="s">
        <v>314</v>
      </c>
      <c r="I1067" s="9" t="s">
        <v>315</v>
      </c>
      <c r="J1067" s="15">
        <v>72000</v>
      </c>
      <c r="K1067" s="15">
        <v>12000</v>
      </c>
    </row>
    <row r="1068" spans="1:11">
      <c r="A1068" s="9">
        <f t="shared" si="16"/>
        <v>1063</v>
      </c>
      <c r="B1068" s="9" t="s">
        <v>2012</v>
      </c>
      <c r="C1068" s="9" t="s">
        <v>53</v>
      </c>
      <c r="D1068" s="9" t="s">
        <v>2025</v>
      </c>
      <c r="E1068" s="9" t="s">
        <v>2026</v>
      </c>
      <c r="F1068" s="9" t="s">
        <v>2027</v>
      </c>
      <c r="G1068" s="9" t="s">
        <v>650</v>
      </c>
      <c r="H1068" s="9" t="s">
        <v>651</v>
      </c>
      <c r="I1068" s="9" t="s">
        <v>652</v>
      </c>
      <c r="J1068" s="15">
        <v>1840000</v>
      </c>
      <c r="K1068" s="15">
        <v>306666.67</v>
      </c>
    </row>
    <row r="1069" spans="1:11">
      <c r="A1069" s="9">
        <f t="shared" si="16"/>
        <v>1064</v>
      </c>
      <c r="B1069" s="9" t="s">
        <v>2012</v>
      </c>
      <c r="C1069" s="9" t="s">
        <v>53</v>
      </c>
      <c r="D1069" s="9" t="s">
        <v>2028</v>
      </c>
      <c r="E1069" s="9" t="s">
        <v>2029</v>
      </c>
      <c r="F1069" s="9" t="s">
        <v>2027</v>
      </c>
      <c r="G1069" s="9" t="s">
        <v>650</v>
      </c>
      <c r="H1069" s="9" t="s">
        <v>651</v>
      </c>
      <c r="I1069" s="9" t="s">
        <v>652</v>
      </c>
      <c r="J1069" s="15">
        <v>1748000</v>
      </c>
      <c r="K1069" s="15">
        <v>291333.33</v>
      </c>
    </row>
    <row r="1070" spans="1:11">
      <c r="A1070" s="9">
        <f t="shared" si="16"/>
        <v>1065</v>
      </c>
      <c r="B1070" s="9" t="s">
        <v>2012</v>
      </c>
      <c r="C1070" s="9" t="s">
        <v>71</v>
      </c>
      <c r="D1070" s="9" t="s">
        <v>1134</v>
      </c>
      <c r="E1070" s="9" t="s">
        <v>1998</v>
      </c>
      <c r="F1070" s="9" t="s">
        <v>36</v>
      </c>
      <c r="G1070" s="9" t="s">
        <v>74</v>
      </c>
      <c r="H1070" s="9" t="s">
        <v>75</v>
      </c>
      <c r="I1070" s="9" t="s">
        <v>38</v>
      </c>
      <c r="J1070" s="15">
        <v>27824</v>
      </c>
      <c r="K1070" s="15">
        <v>4637.33</v>
      </c>
    </row>
    <row r="1071" spans="1:11">
      <c r="A1071" s="9">
        <f t="shared" si="16"/>
        <v>1066</v>
      </c>
      <c r="B1071" s="9" t="s">
        <v>2012</v>
      </c>
      <c r="C1071" s="9" t="s">
        <v>53</v>
      </c>
      <c r="D1071" s="9" t="s">
        <v>2030</v>
      </c>
      <c r="E1071" s="9" t="s">
        <v>2027</v>
      </c>
      <c r="F1071" s="9" t="s">
        <v>2027</v>
      </c>
      <c r="G1071" s="9" t="s">
        <v>650</v>
      </c>
      <c r="H1071" s="9" t="s">
        <v>651</v>
      </c>
      <c r="I1071" s="9" t="s">
        <v>652</v>
      </c>
      <c r="J1071" s="15">
        <v>309000</v>
      </c>
      <c r="K1071" s="15">
        <v>51500</v>
      </c>
    </row>
    <row r="1072" spans="1:11">
      <c r="A1072" s="9">
        <f t="shared" si="16"/>
        <v>1067</v>
      </c>
      <c r="B1072" s="9" t="s">
        <v>2012</v>
      </c>
      <c r="C1072" s="9" t="s">
        <v>53</v>
      </c>
      <c r="D1072" s="9" t="s">
        <v>2031</v>
      </c>
      <c r="E1072" s="9" t="s">
        <v>2032</v>
      </c>
      <c r="F1072" s="9" t="s">
        <v>2032</v>
      </c>
      <c r="G1072" s="9" t="s">
        <v>313</v>
      </c>
      <c r="H1072" s="9" t="s">
        <v>314</v>
      </c>
      <c r="I1072" s="9" t="s">
        <v>315</v>
      </c>
      <c r="J1072" s="15">
        <v>72000</v>
      </c>
      <c r="K1072" s="15">
        <v>12000</v>
      </c>
    </row>
    <row r="1073" spans="1:11">
      <c r="A1073" s="9">
        <f t="shared" si="16"/>
        <v>1068</v>
      </c>
      <c r="B1073" s="9" t="s">
        <v>2012</v>
      </c>
      <c r="C1073" s="9" t="s">
        <v>53</v>
      </c>
      <c r="D1073" s="9" t="s">
        <v>2033</v>
      </c>
      <c r="E1073" s="9" t="s">
        <v>2032</v>
      </c>
      <c r="F1073" s="9" t="s">
        <v>2032</v>
      </c>
      <c r="G1073" s="9" t="s">
        <v>650</v>
      </c>
      <c r="H1073" s="9" t="s">
        <v>651</v>
      </c>
      <c r="I1073" s="9" t="s">
        <v>652</v>
      </c>
      <c r="J1073" s="15">
        <v>947000</v>
      </c>
      <c r="K1073" s="15">
        <v>157833.32999999999</v>
      </c>
    </row>
    <row r="1074" spans="1:11">
      <c r="A1074" s="9">
        <f t="shared" si="16"/>
        <v>1069</v>
      </c>
      <c r="B1074" s="9" t="s">
        <v>2012</v>
      </c>
      <c r="C1074" s="9" t="s">
        <v>71</v>
      </c>
      <c r="D1074" s="9" t="s">
        <v>1129</v>
      </c>
      <c r="E1074" s="9" t="s">
        <v>2032</v>
      </c>
      <c r="F1074" s="9" t="s">
        <v>36</v>
      </c>
      <c r="G1074" s="9" t="s">
        <v>74</v>
      </c>
      <c r="H1074" s="9" t="s">
        <v>75</v>
      </c>
      <c r="I1074" s="9" t="s">
        <v>38</v>
      </c>
      <c r="J1074" s="15">
        <v>1000000</v>
      </c>
      <c r="K1074" s="15">
        <v>166666.67000000001</v>
      </c>
    </row>
    <row r="1075" spans="1:11">
      <c r="A1075" s="9">
        <f t="shared" si="16"/>
        <v>1070</v>
      </c>
      <c r="B1075" s="9" t="s">
        <v>2012</v>
      </c>
      <c r="C1075" s="9" t="s">
        <v>53</v>
      </c>
      <c r="D1075" s="9" t="s">
        <v>2034</v>
      </c>
      <c r="E1075" s="9" t="s">
        <v>2026</v>
      </c>
      <c r="F1075" s="9" t="s">
        <v>2026</v>
      </c>
      <c r="G1075" s="9" t="s">
        <v>102</v>
      </c>
      <c r="H1075" s="9" t="s">
        <v>103</v>
      </c>
      <c r="I1075" s="9" t="s">
        <v>104</v>
      </c>
      <c r="J1075" s="15">
        <v>4000</v>
      </c>
      <c r="K1075" s="15">
        <v>666.67</v>
      </c>
    </row>
    <row r="1076" spans="1:11">
      <c r="A1076" s="9">
        <f t="shared" si="16"/>
        <v>1071</v>
      </c>
      <c r="B1076" s="9" t="s">
        <v>2012</v>
      </c>
      <c r="C1076" s="9" t="s">
        <v>53</v>
      </c>
      <c r="D1076" s="9" t="s">
        <v>2035</v>
      </c>
      <c r="E1076" s="9" t="s">
        <v>2026</v>
      </c>
      <c r="F1076" s="9" t="s">
        <v>2026</v>
      </c>
      <c r="G1076" s="9" t="s">
        <v>2036</v>
      </c>
      <c r="H1076" s="9" t="s">
        <v>1591</v>
      </c>
      <c r="I1076" s="9" t="s">
        <v>2037</v>
      </c>
      <c r="J1076" s="15">
        <v>453600</v>
      </c>
      <c r="K1076" s="15">
        <v>75600</v>
      </c>
    </row>
    <row r="1077" spans="1:11">
      <c r="A1077" s="9">
        <f t="shared" si="16"/>
        <v>1072</v>
      </c>
      <c r="B1077" s="9" t="s">
        <v>2012</v>
      </c>
      <c r="C1077" s="9" t="s">
        <v>71</v>
      </c>
      <c r="D1077" s="9" t="s">
        <v>1112</v>
      </c>
      <c r="E1077" s="9" t="s">
        <v>2020</v>
      </c>
      <c r="F1077" s="9" t="s">
        <v>36</v>
      </c>
      <c r="G1077" s="9" t="s">
        <v>74</v>
      </c>
      <c r="H1077" s="9" t="s">
        <v>75</v>
      </c>
      <c r="I1077" s="9" t="s">
        <v>38</v>
      </c>
      <c r="J1077" s="15">
        <v>315000</v>
      </c>
      <c r="K1077" s="15">
        <v>52500</v>
      </c>
    </row>
    <row r="1078" spans="1:11">
      <c r="A1078" s="9">
        <f t="shared" si="16"/>
        <v>1073</v>
      </c>
      <c r="B1078" s="9" t="s">
        <v>2012</v>
      </c>
      <c r="C1078" s="9" t="s">
        <v>53</v>
      </c>
      <c r="D1078" s="9" t="s">
        <v>2038</v>
      </c>
      <c r="E1078" s="9" t="s">
        <v>2029</v>
      </c>
      <c r="F1078" s="9" t="s">
        <v>2029</v>
      </c>
      <c r="G1078" s="9" t="s">
        <v>1185</v>
      </c>
      <c r="H1078" s="9" t="s">
        <v>75</v>
      </c>
      <c r="I1078" s="9" t="s">
        <v>1186</v>
      </c>
      <c r="J1078" s="15">
        <v>62182.5</v>
      </c>
      <c r="K1078" s="15">
        <v>10363.75</v>
      </c>
    </row>
    <row r="1079" spans="1:11">
      <c r="A1079" s="9">
        <f t="shared" si="16"/>
        <v>1074</v>
      </c>
      <c r="B1079" s="9" t="s">
        <v>2012</v>
      </c>
      <c r="C1079" s="9" t="s">
        <v>53</v>
      </c>
      <c r="D1079" s="9" t="s">
        <v>2039</v>
      </c>
      <c r="E1079" s="9" t="s">
        <v>2029</v>
      </c>
      <c r="F1079" s="9" t="s">
        <v>2029</v>
      </c>
      <c r="G1079" s="9" t="s">
        <v>650</v>
      </c>
      <c r="H1079" s="9" t="s">
        <v>651</v>
      </c>
      <c r="I1079" s="9" t="s">
        <v>652</v>
      </c>
      <c r="J1079" s="15">
        <v>14700</v>
      </c>
      <c r="K1079" s="15">
        <v>2450</v>
      </c>
    </row>
    <row r="1080" spans="1:11">
      <c r="A1080" s="9">
        <f t="shared" si="16"/>
        <v>1075</v>
      </c>
      <c r="B1080" s="9" t="s">
        <v>2012</v>
      </c>
      <c r="C1080" s="9" t="s">
        <v>53</v>
      </c>
      <c r="D1080" s="9" t="s">
        <v>2040</v>
      </c>
      <c r="E1080" s="9" t="s">
        <v>2041</v>
      </c>
      <c r="F1080" s="9" t="s">
        <v>2041</v>
      </c>
      <c r="G1080" s="9" t="s">
        <v>760</v>
      </c>
      <c r="H1080" s="9" t="s">
        <v>525</v>
      </c>
      <c r="I1080" s="9" t="s">
        <v>761</v>
      </c>
      <c r="J1080" s="15">
        <v>19000</v>
      </c>
      <c r="K1080" s="15">
        <v>3166.67</v>
      </c>
    </row>
    <row r="1081" spans="1:11">
      <c r="A1081" s="9">
        <f t="shared" si="16"/>
        <v>1076</v>
      </c>
      <c r="B1081" s="9" t="s">
        <v>2012</v>
      </c>
      <c r="C1081" s="9" t="s">
        <v>71</v>
      </c>
      <c r="D1081" s="9" t="s">
        <v>1158</v>
      </c>
      <c r="E1081" s="9" t="s">
        <v>2042</v>
      </c>
      <c r="F1081" s="9" t="s">
        <v>36</v>
      </c>
      <c r="G1081" s="9" t="s">
        <v>74</v>
      </c>
      <c r="H1081" s="9" t="s">
        <v>75</v>
      </c>
      <c r="I1081" s="9" t="s">
        <v>38</v>
      </c>
      <c r="J1081" s="15">
        <v>434000</v>
      </c>
      <c r="K1081" s="15">
        <v>72333.33</v>
      </c>
    </row>
    <row r="1082" spans="1:11">
      <c r="A1082" s="9">
        <f t="shared" si="16"/>
        <v>1077</v>
      </c>
      <c r="B1082" s="9" t="s">
        <v>2012</v>
      </c>
      <c r="C1082" s="9" t="s">
        <v>53</v>
      </c>
      <c r="D1082" s="9" t="s">
        <v>2043</v>
      </c>
      <c r="E1082" s="9" t="s">
        <v>2044</v>
      </c>
      <c r="F1082" s="9" t="s">
        <v>2044</v>
      </c>
      <c r="G1082" s="9" t="s">
        <v>650</v>
      </c>
      <c r="H1082" s="9" t="s">
        <v>651</v>
      </c>
      <c r="I1082" s="9" t="s">
        <v>652</v>
      </c>
      <c r="J1082" s="15">
        <v>412000</v>
      </c>
      <c r="K1082" s="15">
        <v>68666.67</v>
      </c>
    </row>
    <row r="1083" spans="1:11">
      <c r="A1083" s="9">
        <f t="shared" si="16"/>
        <v>1078</v>
      </c>
      <c r="B1083" s="9" t="s">
        <v>2012</v>
      </c>
      <c r="C1083" s="9" t="s">
        <v>53</v>
      </c>
      <c r="D1083" s="9" t="s">
        <v>2045</v>
      </c>
      <c r="E1083" s="9" t="s">
        <v>2046</v>
      </c>
      <c r="F1083" s="9" t="s">
        <v>2046</v>
      </c>
      <c r="G1083" s="9" t="s">
        <v>102</v>
      </c>
      <c r="H1083" s="9" t="s">
        <v>103</v>
      </c>
      <c r="I1083" s="9" t="s">
        <v>104</v>
      </c>
      <c r="J1083" s="15">
        <v>4635</v>
      </c>
      <c r="K1083" s="15">
        <v>772.5</v>
      </c>
    </row>
    <row r="1084" spans="1:11">
      <c r="A1084" s="9">
        <f t="shared" si="16"/>
        <v>1079</v>
      </c>
      <c r="B1084" s="9" t="s">
        <v>2012</v>
      </c>
      <c r="C1084" s="9" t="s">
        <v>71</v>
      </c>
      <c r="D1084" s="9" t="s">
        <v>1152</v>
      </c>
      <c r="E1084" s="9" t="s">
        <v>2029</v>
      </c>
      <c r="F1084" s="9" t="s">
        <v>36</v>
      </c>
      <c r="G1084" s="9" t="s">
        <v>74</v>
      </c>
      <c r="H1084" s="9" t="s">
        <v>75</v>
      </c>
      <c r="I1084" s="9" t="s">
        <v>38</v>
      </c>
      <c r="J1084" s="15">
        <v>119824</v>
      </c>
      <c r="K1084" s="15">
        <v>19970.669999999998</v>
      </c>
    </row>
    <row r="1085" spans="1:11">
      <c r="A1085" s="9">
        <f t="shared" si="16"/>
        <v>1080</v>
      </c>
      <c r="B1085" s="9" t="s">
        <v>2012</v>
      </c>
      <c r="C1085" s="9" t="s">
        <v>53</v>
      </c>
      <c r="D1085" s="9" t="s">
        <v>2047</v>
      </c>
      <c r="E1085" s="9" t="s">
        <v>2048</v>
      </c>
      <c r="F1085" s="9" t="s">
        <v>2048</v>
      </c>
      <c r="G1085" s="9" t="s">
        <v>650</v>
      </c>
      <c r="H1085" s="9" t="s">
        <v>651</v>
      </c>
      <c r="I1085" s="9" t="s">
        <v>652</v>
      </c>
      <c r="J1085" s="15">
        <v>1785240</v>
      </c>
      <c r="K1085" s="15">
        <v>297540</v>
      </c>
    </row>
    <row r="1086" spans="1:11">
      <c r="A1086" s="9">
        <f t="shared" si="16"/>
        <v>1081</v>
      </c>
      <c r="B1086" s="9" t="s">
        <v>2012</v>
      </c>
      <c r="C1086" s="9" t="s">
        <v>53</v>
      </c>
      <c r="D1086" s="9" t="s">
        <v>2049</v>
      </c>
      <c r="E1086" s="9" t="s">
        <v>2050</v>
      </c>
      <c r="F1086" s="9" t="s">
        <v>2050</v>
      </c>
      <c r="G1086" s="9" t="s">
        <v>1185</v>
      </c>
      <c r="H1086" s="9" t="s">
        <v>75</v>
      </c>
      <c r="I1086" s="9" t="s">
        <v>1186</v>
      </c>
      <c r="J1086" s="15">
        <v>177398.52</v>
      </c>
      <c r="K1086" s="15">
        <v>29566.42</v>
      </c>
    </row>
    <row r="1087" spans="1:11">
      <c r="A1087" s="9">
        <f t="shared" si="16"/>
        <v>1082</v>
      </c>
      <c r="B1087" s="9" t="s">
        <v>2012</v>
      </c>
      <c r="C1087" s="9" t="s">
        <v>53</v>
      </c>
      <c r="D1087" s="9" t="s">
        <v>2051</v>
      </c>
      <c r="E1087" s="9" t="s">
        <v>2050</v>
      </c>
      <c r="F1087" s="9" t="s">
        <v>2050</v>
      </c>
      <c r="G1087" s="9" t="s">
        <v>1185</v>
      </c>
      <c r="H1087" s="9" t="s">
        <v>75</v>
      </c>
      <c r="I1087" s="9" t="s">
        <v>1186</v>
      </c>
      <c r="J1087" s="15">
        <v>4000</v>
      </c>
      <c r="K1087" s="15">
        <v>666.67</v>
      </c>
    </row>
    <row r="1088" spans="1:11">
      <c r="A1088" s="9">
        <f t="shared" si="16"/>
        <v>1083</v>
      </c>
      <c r="B1088" s="9" t="s">
        <v>2012</v>
      </c>
      <c r="C1088" s="9" t="s">
        <v>53</v>
      </c>
      <c r="D1088" s="9" t="s">
        <v>2052</v>
      </c>
      <c r="E1088" s="9" t="s">
        <v>2050</v>
      </c>
      <c r="F1088" s="9" t="s">
        <v>2050</v>
      </c>
      <c r="G1088" s="9" t="s">
        <v>650</v>
      </c>
      <c r="H1088" s="9" t="s">
        <v>651</v>
      </c>
      <c r="I1088" s="9" t="s">
        <v>652</v>
      </c>
      <c r="J1088" s="15">
        <v>188000</v>
      </c>
      <c r="K1088" s="15">
        <v>31333.33</v>
      </c>
    </row>
    <row r="1089" spans="1:11">
      <c r="A1089" s="9">
        <f t="shared" si="16"/>
        <v>1084</v>
      </c>
      <c r="B1089" s="9" t="s">
        <v>2012</v>
      </c>
      <c r="C1089" s="9" t="s">
        <v>53</v>
      </c>
      <c r="D1089" s="9" t="s">
        <v>2053</v>
      </c>
      <c r="E1089" s="9" t="s">
        <v>2054</v>
      </c>
      <c r="F1089" s="9" t="s">
        <v>2054</v>
      </c>
      <c r="G1089" s="9" t="s">
        <v>1290</v>
      </c>
      <c r="H1089" s="9" t="s">
        <v>1291</v>
      </c>
      <c r="I1089" s="9" t="s">
        <v>1292</v>
      </c>
      <c r="J1089" s="15">
        <v>0</v>
      </c>
      <c r="K1089" s="15">
        <v>15806.33</v>
      </c>
    </row>
    <row r="1090" spans="1:11">
      <c r="A1090" s="9">
        <f t="shared" si="16"/>
        <v>1085</v>
      </c>
      <c r="B1090" s="9" t="s">
        <v>2012</v>
      </c>
      <c r="C1090" s="9" t="s">
        <v>71</v>
      </c>
      <c r="D1090" s="9" t="s">
        <v>1576</v>
      </c>
      <c r="E1090" s="9" t="s">
        <v>2041</v>
      </c>
      <c r="F1090" s="9" t="s">
        <v>36</v>
      </c>
      <c r="G1090" s="9" t="s">
        <v>74</v>
      </c>
      <c r="H1090" s="9" t="s">
        <v>75</v>
      </c>
      <c r="I1090" s="9" t="s">
        <v>38</v>
      </c>
      <c r="J1090" s="15">
        <v>1000000</v>
      </c>
      <c r="K1090" s="15">
        <v>166666.67000000001</v>
      </c>
    </row>
    <row r="1091" spans="1:11">
      <c r="A1091" s="9">
        <f t="shared" si="16"/>
        <v>1086</v>
      </c>
      <c r="B1091" s="9" t="s">
        <v>2012</v>
      </c>
      <c r="C1091" s="9" t="s">
        <v>71</v>
      </c>
      <c r="D1091" s="9" t="s">
        <v>1566</v>
      </c>
      <c r="E1091" s="9" t="s">
        <v>2048</v>
      </c>
      <c r="F1091" s="9" t="s">
        <v>36</v>
      </c>
      <c r="G1091" s="9" t="s">
        <v>74</v>
      </c>
      <c r="H1091" s="9" t="s">
        <v>75</v>
      </c>
      <c r="I1091" s="9" t="s">
        <v>38</v>
      </c>
      <c r="J1091" s="15">
        <v>810000</v>
      </c>
      <c r="K1091" s="15">
        <v>135000</v>
      </c>
    </row>
    <row r="1092" spans="1:11">
      <c r="A1092" s="9">
        <f t="shared" si="16"/>
        <v>1087</v>
      </c>
      <c r="B1092" s="9" t="s">
        <v>2012</v>
      </c>
      <c r="C1092" s="9" t="s">
        <v>53</v>
      </c>
      <c r="D1092" s="9" t="s">
        <v>2055</v>
      </c>
      <c r="E1092" s="9" t="s">
        <v>2054</v>
      </c>
      <c r="F1092" s="9" t="s">
        <v>2054</v>
      </c>
      <c r="G1092" s="9" t="s">
        <v>1382</v>
      </c>
      <c r="H1092" s="9" t="s">
        <v>1383</v>
      </c>
      <c r="I1092" s="9" t="s">
        <v>1384</v>
      </c>
      <c r="J1092" s="15">
        <v>641.86</v>
      </c>
      <c r="K1092" s="15">
        <v>106.98</v>
      </c>
    </row>
    <row r="1093" spans="1:11">
      <c r="A1093" s="9">
        <f t="shared" si="16"/>
        <v>1088</v>
      </c>
      <c r="B1093" s="9" t="s">
        <v>2012</v>
      </c>
      <c r="C1093" s="9" t="s">
        <v>53</v>
      </c>
      <c r="D1093" s="9" t="s">
        <v>2056</v>
      </c>
      <c r="E1093" s="9" t="s">
        <v>2054</v>
      </c>
      <c r="F1093" s="9" t="s">
        <v>2054</v>
      </c>
      <c r="G1093" s="9" t="s">
        <v>1382</v>
      </c>
      <c r="H1093" s="9" t="s">
        <v>1383</v>
      </c>
      <c r="I1093" s="9" t="s">
        <v>1384</v>
      </c>
      <c r="J1093" s="15">
        <v>165.38</v>
      </c>
      <c r="K1093" s="15">
        <v>27.56</v>
      </c>
    </row>
    <row r="1094" spans="1:11">
      <c r="A1094" s="9">
        <f t="shared" si="16"/>
        <v>1089</v>
      </c>
      <c r="B1094" s="9" t="s">
        <v>2012</v>
      </c>
      <c r="C1094" s="9" t="s">
        <v>53</v>
      </c>
      <c r="D1094" s="9" t="s">
        <v>505</v>
      </c>
      <c r="E1094" s="9" t="s">
        <v>2054</v>
      </c>
      <c r="F1094" s="9" t="s">
        <v>2054</v>
      </c>
      <c r="G1094" s="9" t="s">
        <v>2057</v>
      </c>
      <c r="H1094" s="9" t="s">
        <v>2058</v>
      </c>
      <c r="I1094" s="9" t="s">
        <v>2059</v>
      </c>
      <c r="J1094" s="15">
        <v>35000</v>
      </c>
      <c r="K1094" s="15">
        <v>5833.33</v>
      </c>
    </row>
    <row r="1095" spans="1:11">
      <c r="A1095" s="9">
        <f t="shared" ref="A1095:A1158" si="17">A1094+1</f>
        <v>1090</v>
      </c>
      <c r="B1095" s="9" t="s">
        <v>2012</v>
      </c>
      <c r="C1095" s="9" t="s">
        <v>53</v>
      </c>
      <c r="D1095" s="9" t="s">
        <v>823</v>
      </c>
      <c r="E1095" s="9" t="s">
        <v>2060</v>
      </c>
      <c r="F1095" s="9" t="s">
        <v>2060</v>
      </c>
      <c r="G1095" s="9" t="s">
        <v>1894</v>
      </c>
      <c r="H1095" s="9" t="s">
        <v>327</v>
      </c>
      <c r="I1095" s="9" t="s">
        <v>1895</v>
      </c>
      <c r="J1095" s="15">
        <v>429784</v>
      </c>
      <c r="K1095" s="15">
        <v>71630.67</v>
      </c>
    </row>
    <row r="1096" spans="1:11">
      <c r="A1096" s="9">
        <f t="shared" si="17"/>
        <v>1091</v>
      </c>
      <c r="B1096" s="9" t="s">
        <v>2012</v>
      </c>
      <c r="C1096" s="9" t="s">
        <v>71</v>
      </c>
      <c r="D1096" s="9" t="s">
        <v>1132</v>
      </c>
      <c r="E1096" s="9" t="s">
        <v>2061</v>
      </c>
      <c r="F1096" s="9" t="s">
        <v>36</v>
      </c>
      <c r="G1096" s="9" t="s">
        <v>74</v>
      </c>
      <c r="H1096" s="9" t="s">
        <v>75</v>
      </c>
      <c r="I1096" s="9" t="s">
        <v>38</v>
      </c>
      <c r="J1096" s="15">
        <v>150000</v>
      </c>
      <c r="K1096" s="15">
        <v>25000</v>
      </c>
    </row>
    <row r="1097" spans="1:11">
      <c r="A1097" s="9">
        <f t="shared" si="17"/>
        <v>1092</v>
      </c>
      <c r="B1097" s="9" t="s">
        <v>2012</v>
      </c>
      <c r="C1097" s="9" t="s">
        <v>53</v>
      </c>
      <c r="D1097" s="9" t="s">
        <v>2062</v>
      </c>
      <c r="E1097" s="9" t="s">
        <v>2063</v>
      </c>
      <c r="F1097" s="9" t="s">
        <v>2063</v>
      </c>
      <c r="G1097" s="9" t="s">
        <v>650</v>
      </c>
      <c r="H1097" s="9" t="s">
        <v>651</v>
      </c>
      <c r="I1097" s="9" t="s">
        <v>652</v>
      </c>
      <c r="J1097" s="15">
        <v>1055691</v>
      </c>
      <c r="K1097" s="15">
        <v>175948.5</v>
      </c>
    </row>
    <row r="1098" spans="1:11">
      <c r="A1098" s="9">
        <f t="shared" si="17"/>
        <v>1093</v>
      </c>
      <c r="B1098" s="9" t="s">
        <v>2012</v>
      </c>
      <c r="C1098" s="9" t="s">
        <v>71</v>
      </c>
      <c r="D1098" s="9" t="s">
        <v>1561</v>
      </c>
      <c r="E1098" s="9" t="s">
        <v>2046</v>
      </c>
      <c r="F1098" s="9" t="s">
        <v>36</v>
      </c>
      <c r="G1098" s="9" t="s">
        <v>74</v>
      </c>
      <c r="H1098" s="9" t="s">
        <v>75</v>
      </c>
      <c r="I1098" s="9" t="s">
        <v>38</v>
      </c>
      <c r="J1098" s="15">
        <v>252000</v>
      </c>
      <c r="K1098" s="15">
        <v>42000</v>
      </c>
    </row>
    <row r="1099" spans="1:11">
      <c r="A1099" s="9">
        <f t="shared" si="17"/>
        <v>1094</v>
      </c>
      <c r="B1099" s="9" t="s">
        <v>2012</v>
      </c>
      <c r="C1099" s="9" t="s">
        <v>71</v>
      </c>
      <c r="D1099" s="9" t="s">
        <v>1606</v>
      </c>
      <c r="E1099" s="9" t="s">
        <v>2064</v>
      </c>
      <c r="F1099" s="9" t="s">
        <v>36</v>
      </c>
      <c r="G1099" s="9" t="s">
        <v>74</v>
      </c>
      <c r="H1099" s="9" t="s">
        <v>75</v>
      </c>
      <c r="I1099" s="9" t="s">
        <v>38</v>
      </c>
      <c r="J1099" s="15">
        <v>483000</v>
      </c>
      <c r="K1099" s="15">
        <v>80500</v>
      </c>
    </row>
    <row r="1100" spans="1:11">
      <c r="A1100" s="9">
        <f t="shared" si="17"/>
        <v>1095</v>
      </c>
      <c r="B1100" s="9" t="s">
        <v>2012</v>
      </c>
      <c r="C1100" s="9" t="s">
        <v>71</v>
      </c>
      <c r="D1100" s="9" t="s">
        <v>1607</v>
      </c>
      <c r="E1100" s="9" t="s">
        <v>2064</v>
      </c>
      <c r="F1100" s="9" t="s">
        <v>36</v>
      </c>
      <c r="G1100" s="9" t="s">
        <v>74</v>
      </c>
      <c r="H1100" s="9" t="s">
        <v>75</v>
      </c>
      <c r="I1100" s="9" t="s">
        <v>38</v>
      </c>
      <c r="J1100" s="15">
        <v>930000</v>
      </c>
      <c r="K1100" s="15">
        <v>155000</v>
      </c>
    </row>
    <row r="1101" spans="1:11">
      <c r="A1101" s="9">
        <f t="shared" si="17"/>
        <v>1096</v>
      </c>
      <c r="B1101" s="9" t="s">
        <v>2012</v>
      </c>
      <c r="C1101" s="9" t="s">
        <v>71</v>
      </c>
      <c r="D1101" s="9" t="s">
        <v>1160</v>
      </c>
      <c r="E1101" s="9" t="s">
        <v>2065</v>
      </c>
      <c r="F1101" s="9" t="s">
        <v>36</v>
      </c>
      <c r="G1101" s="9" t="s">
        <v>74</v>
      </c>
      <c r="H1101" s="9" t="s">
        <v>75</v>
      </c>
      <c r="I1101" s="9" t="s">
        <v>38</v>
      </c>
      <c r="J1101" s="15">
        <v>444000</v>
      </c>
      <c r="K1101" s="15">
        <v>74000</v>
      </c>
    </row>
    <row r="1102" spans="1:11">
      <c r="A1102" s="9">
        <f t="shared" si="17"/>
        <v>1097</v>
      </c>
      <c r="B1102" s="9" t="s">
        <v>2012</v>
      </c>
      <c r="C1102" s="9" t="s">
        <v>53</v>
      </c>
      <c r="D1102" s="9" t="s">
        <v>2066</v>
      </c>
      <c r="E1102" s="9" t="s">
        <v>2067</v>
      </c>
      <c r="F1102" s="9" t="s">
        <v>2067</v>
      </c>
      <c r="G1102" s="9" t="s">
        <v>650</v>
      </c>
      <c r="H1102" s="9" t="s">
        <v>651</v>
      </c>
      <c r="I1102" s="9" t="s">
        <v>652</v>
      </c>
      <c r="J1102" s="15">
        <v>1940000</v>
      </c>
      <c r="K1102" s="15">
        <v>323333.34000000003</v>
      </c>
    </row>
    <row r="1103" spans="1:11">
      <c r="A1103" s="9">
        <f t="shared" si="17"/>
        <v>1098</v>
      </c>
      <c r="B1103" s="9" t="s">
        <v>2012</v>
      </c>
      <c r="C1103" s="9" t="s">
        <v>53</v>
      </c>
      <c r="D1103" s="9" t="s">
        <v>2068</v>
      </c>
      <c r="E1103" s="9" t="s">
        <v>2069</v>
      </c>
      <c r="F1103" s="9" t="s">
        <v>2069</v>
      </c>
      <c r="G1103" s="9" t="s">
        <v>650</v>
      </c>
      <c r="H1103" s="9" t="s">
        <v>651</v>
      </c>
      <c r="I1103" s="9" t="s">
        <v>652</v>
      </c>
      <c r="J1103" s="15">
        <v>515000</v>
      </c>
      <c r="K1103" s="15">
        <v>85833.33</v>
      </c>
    </row>
    <row r="1104" spans="1:11">
      <c r="A1104" s="9">
        <f t="shared" si="17"/>
        <v>1099</v>
      </c>
      <c r="B1104" s="9" t="s">
        <v>2012</v>
      </c>
      <c r="C1104" s="9" t="s">
        <v>53</v>
      </c>
      <c r="D1104" s="9" t="s">
        <v>2070</v>
      </c>
      <c r="E1104" s="9" t="s">
        <v>2071</v>
      </c>
      <c r="F1104" s="9" t="s">
        <v>2071</v>
      </c>
      <c r="G1104" s="9" t="s">
        <v>102</v>
      </c>
      <c r="H1104" s="9" t="s">
        <v>103</v>
      </c>
      <c r="I1104" s="9" t="s">
        <v>104</v>
      </c>
      <c r="J1104" s="15">
        <v>1742</v>
      </c>
      <c r="K1104" s="15">
        <v>290.33999999999997</v>
      </c>
    </row>
    <row r="1105" spans="1:11">
      <c r="A1105" s="9">
        <f t="shared" si="17"/>
        <v>1100</v>
      </c>
      <c r="B1105" s="9" t="s">
        <v>2012</v>
      </c>
      <c r="C1105" s="9" t="s">
        <v>53</v>
      </c>
      <c r="D1105" s="9" t="s">
        <v>2072</v>
      </c>
      <c r="E1105" s="9" t="s">
        <v>2071</v>
      </c>
      <c r="F1105" s="9" t="s">
        <v>2071</v>
      </c>
      <c r="G1105" s="9" t="s">
        <v>102</v>
      </c>
      <c r="H1105" s="9" t="s">
        <v>103</v>
      </c>
      <c r="I1105" s="9" t="s">
        <v>104</v>
      </c>
      <c r="J1105" s="15">
        <v>1270</v>
      </c>
      <c r="K1105" s="15">
        <v>211.67</v>
      </c>
    </row>
    <row r="1106" spans="1:11">
      <c r="A1106" s="9">
        <f t="shared" si="17"/>
        <v>1101</v>
      </c>
      <c r="B1106" s="9" t="s">
        <v>2012</v>
      </c>
      <c r="C1106" s="9" t="s">
        <v>71</v>
      </c>
      <c r="D1106" s="9" t="s">
        <v>1162</v>
      </c>
      <c r="E1106" s="9" t="s">
        <v>2065</v>
      </c>
      <c r="F1106" s="9" t="s">
        <v>36</v>
      </c>
      <c r="G1106" s="9" t="s">
        <v>74</v>
      </c>
      <c r="H1106" s="9" t="s">
        <v>75</v>
      </c>
      <c r="I1106" s="9" t="s">
        <v>38</v>
      </c>
      <c r="J1106" s="15">
        <v>700000</v>
      </c>
      <c r="K1106" s="15">
        <v>116666.67</v>
      </c>
    </row>
    <row r="1107" spans="1:11">
      <c r="A1107" s="9">
        <f t="shared" si="17"/>
        <v>1102</v>
      </c>
      <c r="B1107" s="9" t="s">
        <v>2012</v>
      </c>
      <c r="C1107" s="9" t="s">
        <v>53</v>
      </c>
      <c r="D1107" s="9" t="s">
        <v>2073</v>
      </c>
      <c r="E1107" s="9" t="s">
        <v>2074</v>
      </c>
      <c r="F1107" s="9" t="s">
        <v>2075</v>
      </c>
      <c r="G1107" s="9" t="s">
        <v>650</v>
      </c>
      <c r="H1107" s="9" t="s">
        <v>651</v>
      </c>
      <c r="I1107" s="9" t="s">
        <v>652</v>
      </c>
      <c r="J1107" s="15">
        <v>412000</v>
      </c>
      <c r="K1107" s="15">
        <v>68666.67</v>
      </c>
    </row>
    <row r="1108" spans="1:11">
      <c r="A1108" s="9">
        <f t="shared" si="17"/>
        <v>1103</v>
      </c>
      <c r="B1108" s="9" t="s">
        <v>2012</v>
      </c>
      <c r="C1108" s="9" t="s">
        <v>53</v>
      </c>
      <c r="D1108" s="9" t="s">
        <v>2076</v>
      </c>
      <c r="E1108" s="9" t="s">
        <v>2075</v>
      </c>
      <c r="F1108" s="9" t="s">
        <v>2075</v>
      </c>
      <c r="G1108" s="9" t="s">
        <v>1185</v>
      </c>
      <c r="H1108" s="9" t="s">
        <v>75</v>
      </c>
      <c r="I1108" s="9" t="s">
        <v>1186</v>
      </c>
      <c r="J1108" s="15">
        <v>7089.44</v>
      </c>
      <c r="K1108" s="15">
        <v>1181.57</v>
      </c>
    </row>
    <row r="1109" spans="1:11">
      <c r="A1109" s="9">
        <f t="shared" si="17"/>
        <v>1104</v>
      </c>
      <c r="B1109" s="9" t="s">
        <v>2012</v>
      </c>
      <c r="C1109" s="9" t="s">
        <v>53</v>
      </c>
      <c r="D1109" s="9" t="s">
        <v>2077</v>
      </c>
      <c r="E1109" s="9" t="s">
        <v>2075</v>
      </c>
      <c r="F1109" s="9" t="s">
        <v>2075</v>
      </c>
      <c r="G1109" s="9" t="s">
        <v>650</v>
      </c>
      <c r="H1109" s="9" t="s">
        <v>651</v>
      </c>
      <c r="I1109" s="9" t="s">
        <v>652</v>
      </c>
      <c r="J1109" s="15">
        <v>1864020</v>
      </c>
      <c r="K1109" s="15">
        <v>310670</v>
      </c>
    </row>
    <row r="1110" spans="1:11">
      <c r="A1110" s="9">
        <f t="shared" si="17"/>
        <v>1105</v>
      </c>
      <c r="B1110" s="9" t="s">
        <v>2012</v>
      </c>
      <c r="C1110" s="9" t="s">
        <v>53</v>
      </c>
      <c r="D1110" s="9" t="s">
        <v>1217</v>
      </c>
      <c r="E1110" s="9" t="s">
        <v>2075</v>
      </c>
      <c r="F1110" s="9" t="s">
        <v>2075</v>
      </c>
      <c r="G1110" s="9" t="s">
        <v>2078</v>
      </c>
      <c r="H1110" s="9" t="s">
        <v>1311</v>
      </c>
      <c r="I1110" s="9" t="s">
        <v>2079</v>
      </c>
      <c r="J1110" s="15">
        <v>1864020</v>
      </c>
      <c r="K1110" s="15">
        <v>310670</v>
      </c>
    </row>
    <row r="1111" spans="1:11">
      <c r="A1111" s="9">
        <f t="shared" si="17"/>
        <v>1106</v>
      </c>
      <c r="B1111" s="9" t="s">
        <v>2012</v>
      </c>
      <c r="C1111" s="9" t="s">
        <v>53</v>
      </c>
      <c r="D1111" s="9" t="s">
        <v>2080</v>
      </c>
      <c r="E1111" s="9" t="s">
        <v>2075</v>
      </c>
      <c r="F1111" s="9" t="s">
        <v>2075</v>
      </c>
      <c r="G1111" s="9" t="s">
        <v>2036</v>
      </c>
      <c r="H1111" s="9" t="s">
        <v>1591</v>
      </c>
      <c r="I1111" s="9" t="s">
        <v>2037</v>
      </c>
      <c r="J1111" s="15">
        <v>1490982</v>
      </c>
      <c r="K1111" s="15">
        <v>248497</v>
      </c>
    </row>
    <row r="1112" spans="1:11">
      <c r="A1112" s="9">
        <f t="shared" si="17"/>
        <v>1107</v>
      </c>
      <c r="B1112" s="9" t="s">
        <v>2012</v>
      </c>
      <c r="C1112" s="9" t="s">
        <v>53</v>
      </c>
      <c r="D1112" s="9" t="s">
        <v>2081</v>
      </c>
      <c r="E1112" s="9" t="s">
        <v>2082</v>
      </c>
      <c r="F1112" s="9" t="s">
        <v>2082</v>
      </c>
      <c r="G1112" s="9" t="s">
        <v>2083</v>
      </c>
      <c r="H1112" s="9" t="s">
        <v>2058</v>
      </c>
      <c r="I1112" s="9" t="s">
        <v>2084</v>
      </c>
      <c r="J1112" s="15">
        <v>29650</v>
      </c>
      <c r="K1112" s="15">
        <v>4941.67</v>
      </c>
    </row>
    <row r="1113" spans="1:11">
      <c r="A1113" s="9">
        <f t="shared" si="17"/>
        <v>1108</v>
      </c>
      <c r="B1113" s="9" t="s">
        <v>2012</v>
      </c>
      <c r="C1113" s="9" t="s">
        <v>53</v>
      </c>
      <c r="D1113" s="9" t="s">
        <v>2085</v>
      </c>
      <c r="E1113" s="9" t="s">
        <v>2082</v>
      </c>
      <c r="F1113" s="9" t="s">
        <v>2082</v>
      </c>
      <c r="G1113" s="9" t="s">
        <v>650</v>
      </c>
      <c r="H1113" s="9" t="s">
        <v>651</v>
      </c>
      <c r="I1113" s="9" t="s">
        <v>652</v>
      </c>
      <c r="J1113" s="15">
        <v>1780000</v>
      </c>
      <c r="K1113" s="15">
        <v>296666.67</v>
      </c>
    </row>
    <row r="1114" spans="1:11">
      <c r="A1114" s="9">
        <f t="shared" si="17"/>
        <v>1109</v>
      </c>
      <c r="B1114" s="9" t="s">
        <v>2012</v>
      </c>
      <c r="C1114" s="9" t="s">
        <v>71</v>
      </c>
      <c r="D1114" s="9" t="s">
        <v>1577</v>
      </c>
      <c r="E1114" s="9" t="s">
        <v>2048</v>
      </c>
      <c r="F1114" s="9" t="s">
        <v>36</v>
      </c>
      <c r="G1114" s="9" t="s">
        <v>74</v>
      </c>
      <c r="H1114" s="9" t="s">
        <v>75</v>
      </c>
      <c r="I1114" s="9" t="s">
        <v>38</v>
      </c>
      <c r="J1114" s="15">
        <v>1840000</v>
      </c>
      <c r="K1114" s="15">
        <v>306666.67</v>
      </c>
    </row>
    <row r="1115" spans="1:11">
      <c r="A1115" s="9">
        <f t="shared" si="17"/>
        <v>1110</v>
      </c>
      <c r="B1115" s="9" t="s">
        <v>2012</v>
      </c>
      <c r="C1115" s="9" t="s">
        <v>53</v>
      </c>
      <c r="D1115" s="9" t="s">
        <v>2086</v>
      </c>
      <c r="E1115" s="9" t="s">
        <v>2087</v>
      </c>
      <c r="F1115" s="9" t="s">
        <v>2087</v>
      </c>
      <c r="G1115" s="9" t="s">
        <v>102</v>
      </c>
      <c r="H1115" s="9" t="s">
        <v>103</v>
      </c>
      <c r="I1115" s="9" t="s">
        <v>104</v>
      </c>
      <c r="J1115" s="15">
        <v>3800</v>
      </c>
      <c r="K1115" s="15">
        <v>633.33000000000004</v>
      </c>
    </row>
    <row r="1116" spans="1:11">
      <c r="A1116" s="9">
        <f t="shared" si="17"/>
        <v>1111</v>
      </c>
      <c r="B1116" s="9" t="s">
        <v>2012</v>
      </c>
      <c r="C1116" s="9" t="s">
        <v>53</v>
      </c>
      <c r="D1116" s="9" t="s">
        <v>2088</v>
      </c>
      <c r="E1116" s="9" t="s">
        <v>2087</v>
      </c>
      <c r="F1116" s="9" t="s">
        <v>2087</v>
      </c>
      <c r="G1116" s="9" t="s">
        <v>102</v>
      </c>
      <c r="H1116" s="9" t="s">
        <v>103</v>
      </c>
      <c r="I1116" s="9" t="s">
        <v>104</v>
      </c>
      <c r="J1116" s="15">
        <v>8364</v>
      </c>
      <c r="K1116" s="15">
        <v>1394</v>
      </c>
    </row>
    <row r="1117" spans="1:11">
      <c r="A1117" s="9">
        <f t="shared" si="17"/>
        <v>1112</v>
      </c>
      <c r="B1117" s="9" t="s">
        <v>2012</v>
      </c>
      <c r="C1117" s="9" t="s">
        <v>71</v>
      </c>
      <c r="D1117" s="9" t="s">
        <v>1658</v>
      </c>
      <c r="E1117" s="9" t="s">
        <v>2075</v>
      </c>
      <c r="F1117" s="9" t="s">
        <v>36</v>
      </c>
      <c r="G1117" s="9" t="s">
        <v>74</v>
      </c>
      <c r="H1117" s="9" t="s">
        <v>75</v>
      </c>
      <c r="I1117" s="9" t="s">
        <v>38</v>
      </c>
      <c r="J1117" s="15">
        <v>444000</v>
      </c>
      <c r="K1117" s="15">
        <v>74000</v>
      </c>
    </row>
    <row r="1118" spans="1:11">
      <c r="A1118" s="9">
        <f t="shared" si="17"/>
        <v>1113</v>
      </c>
      <c r="B1118" s="9" t="s">
        <v>2012</v>
      </c>
      <c r="C1118" s="9" t="s">
        <v>53</v>
      </c>
      <c r="D1118" s="9" t="s">
        <v>2089</v>
      </c>
      <c r="E1118" s="9" t="s">
        <v>2090</v>
      </c>
      <c r="F1118" s="9" t="s">
        <v>2090</v>
      </c>
      <c r="G1118" s="9" t="s">
        <v>1368</v>
      </c>
      <c r="H1118" s="9" t="s">
        <v>327</v>
      </c>
      <c r="I1118" s="9" t="s">
        <v>1369</v>
      </c>
      <c r="J1118" s="15">
        <v>221136</v>
      </c>
      <c r="K1118" s="15">
        <v>36856</v>
      </c>
    </row>
    <row r="1119" spans="1:11">
      <c r="A1119" s="9">
        <f t="shared" si="17"/>
        <v>1114</v>
      </c>
      <c r="B1119" s="9" t="s">
        <v>2012</v>
      </c>
      <c r="C1119" s="9" t="s">
        <v>53</v>
      </c>
      <c r="D1119" s="9" t="s">
        <v>1313</v>
      </c>
      <c r="E1119" s="9" t="s">
        <v>2090</v>
      </c>
      <c r="F1119" s="9" t="s">
        <v>2090</v>
      </c>
      <c r="G1119" s="9" t="s">
        <v>1368</v>
      </c>
      <c r="H1119" s="9" t="s">
        <v>327</v>
      </c>
      <c r="I1119" s="9" t="s">
        <v>1369</v>
      </c>
      <c r="J1119" s="15">
        <v>72432</v>
      </c>
      <c r="K1119" s="15">
        <v>12072</v>
      </c>
    </row>
    <row r="1120" spans="1:11">
      <c r="A1120" s="9">
        <f t="shared" si="17"/>
        <v>1115</v>
      </c>
      <c r="B1120" s="9" t="s">
        <v>2012</v>
      </c>
      <c r="C1120" s="9" t="s">
        <v>53</v>
      </c>
      <c r="D1120" s="9" t="s">
        <v>2091</v>
      </c>
      <c r="E1120" s="9" t="s">
        <v>2090</v>
      </c>
      <c r="F1120" s="9" t="s">
        <v>2090</v>
      </c>
      <c r="G1120" s="9" t="s">
        <v>650</v>
      </c>
      <c r="H1120" s="9" t="s">
        <v>651</v>
      </c>
      <c r="I1120" s="9" t="s">
        <v>652</v>
      </c>
      <c r="J1120" s="15">
        <v>276000</v>
      </c>
      <c r="K1120" s="15">
        <v>46000</v>
      </c>
    </row>
    <row r="1121" spans="1:11">
      <c r="A1121" s="9">
        <f t="shared" si="17"/>
        <v>1116</v>
      </c>
      <c r="B1121" s="9" t="s">
        <v>2012</v>
      </c>
      <c r="C1121" s="9" t="s">
        <v>53</v>
      </c>
      <c r="D1121" s="9" t="s">
        <v>2092</v>
      </c>
      <c r="E1121" s="9" t="s">
        <v>2090</v>
      </c>
      <c r="F1121" s="9" t="s">
        <v>2090</v>
      </c>
      <c r="G1121" s="9" t="s">
        <v>650</v>
      </c>
      <c r="H1121" s="9" t="s">
        <v>651</v>
      </c>
      <c r="I1121" s="9" t="s">
        <v>652</v>
      </c>
      <c r="J1121" s="15">
        <v>184000</v>
      </c>
      <c r="K1121" s="15">
        <v>30666.67</v>
      </c>
    </row>
    <row r="1122" spans="1:11">
      <c r="A1122" s="9">
        <f t="shared" si="17"/>
        <v>1117</v>
      </c>
      <c r="B1122" s="9" t="s">
        <v>2012</v>
      </c>
      <c r="C1122" s="9" t="s">
        <v>71</v>
      </c>
      <c r="D1122" s="9" t="s">
        <v>1638</v>
      </c>
      <c r="E1122" s="9" t="s">
        <v>2075</v>
      </c>
      <c r="F1122" s="9" t="s">
        <v>36</v>
      </c>
      <c r="G1122" s="9" t="s">
        <v>74</v>
      </c>
      <c r="H1122" s="9" t="s">
        <v>75</v>
      </c>
      <c r="I1122" s="9" t="s">
        <v>38</v>
      </c>
      <c r="J1122" s="15">
        <v>1820000</v>
      </c>
      <c r="K1122" s="15">
        <v>303333.33</v>
      </c>
    </row>
    <row r="1123" spans="1:11">
      <c r="A1123" s="9">
        <f t="shared" si="17"/>
        <v>1118</v>
      </c>
      <c r="B1123" s="9" t="s">
        <v>2012</v>
      </c>
      <c r="C1123" s="9" t="s">
        <v>71</v>
      </c>
      <c r="D1123" s="9" t="s">
        <v>1660</v>
      </c>
      <c r="E1123" s="9" t="s">
        <v>2093</v>
      </c>
      <c r="F1123" s="9" t="s">
        <v>36</v>
      </c>
      <c r="G1123" s="9" t="s">
        <v>74</v>
      </c>
      <c r="H1123" s="9" t="s">
        <v>75</v>
      </c>
      <c r="I1123" s="9" t="s">
        <v>38</v>
      </c>
      <c r="J1123" s="15">
        <v>465000</v>
      </c>
      <c r="K1123" s="15">
        <v>77500</v>
      </c>
    </row>
    <row r="1124" spans="1:11">
      <c r="A1124" s="9">
        <f t="shared" si="17"/>
        <v>1119</v>
      </c>
      <c r="B1124" s="9" t="s">
        <v>2012</v>
      </c>
      <c r="C1124" s="9" t="s">
        <v>53</v>
      </c>
      <c r="D1124" s="9" t="s">
        <v>2094</v>
      </c>
      <c r="E1124" s="9" t="s">
        <v>2095</v>
      </c>
      <c r="F1124" s="9" t="s">
        <v>2095</v>
      </c>
      <c r="G1124" s="9" t="s">
        <v>650</v>
      </c>
      <c r="H1124" s="9" t="s">
        <v>651</v>
      </c>
      <c r="I1124" s="9" t="s">
        <v>652</v>
      </c>
      <c r="J1124" s="15">
        <v>282000</v>
      </c>
      <c r="K1124" s="15">
        <v>47000</v>
      </c>
    </row>
    <row r="1125" spans="1:11">
      <c r="A1125" s="9">
        <f t="shared" si="17"/>
        <v>1120</v>
      </c>
      <c r="B1125" s="9" t="s">
        <v>2012</v>
      </c>
      <c r="C1125" s="9" t="s">
        <v>53</v>
      </c>
      <c r="D1125" s="9" t="s">
        <v>2096</v>
      </c>
      <c r="E1125" s="9" t="s">
        <v>2095</v>
      </c>
      <c r="F1125" s="9" t="s">
        <v>2095</v>
      </c>
      <c r="G1125" s="9" t="s">
        <v>2097</v>
      </c>
      <c r="H1125" s="9" t="s">
        <v>2098</v>
      </c>
      <c r="I1125" s="9" t="s">
        <v>2099</v>
      </c>
      <c r="J1125" s="15">
        <v>24430</v>
      </c>
      <c r="K1125" s="15">
        <v>4071.66</v>
      </c>
    </row>
    <row r="1126" spans="1:11">
      <c r="A1126" s="9">
        <f t="shared" si="17"/>
        <v>1121</v>
      </c>
      <c r="B1126" s="9" t="s">
        <v>2012</v>
      </c>
      <c r="C1126" s="9" t="s">
        <v>53</v>
      </c>
      <c r="D1126" s="9" t="s">
        <v>2100</v>
      </c>
      <c r="E1126" s="9" t="s">
        <v>2095</v>
      </c>
      <c r="F1126" s="9" t="s">
        <v>2095</v>
      </c>
      <c r="G1126" s="9" t="s">
        <v>2097</v>
      </c>
      <c r="H1126" s="9" t="s">
        <v>2098</v>
      </c>
      <c r="I1126" s="9" t="s">
        <v>2099</v>
      </c>
      <c r="J1126" s="15">
        <v>1134</v>
      </c>
      <c r="K1126" s="15">
        <v>189</v>
      </c>
    </row>
    <row r="1127" spans="1:11">
      <c r="A1127" s="9">
        <f t="shared" si="17"/>
        <v>1122</v>
      </c>
      <c r="B1127" s="9" t="s">
        <v>2012</v>
      </c>
      <c r="C1127" s="9" t="s">
        <v>71</v>
      </c>
      <c r="D1127" s="9" t="s">
        <v>1639</v>
      </c>
      <c r="E1127" s="9" t="s">
        <v>2101</v>
      </c>
      <c r="F1127" s="9" t="s">
        <v>36</v>
      </c>
      <c r="G1127" s="9" t="s">
        <v>74</v>
      </c>
      <c r="H1127" s="9" t="s">
        <v>75</v>
      </c>
      <c r="I1127" s="9" t="s">
        <v>38</v>
      </c>
      <c r="J1127" s="15">
        <v>697000</v>
      </c>
      <c r="K1127" s="15">
        <v>116166.67</v>
      </c>
    </row>
    <row r="1128" spans="1:11">
      <c r="A1128" s="9">
        <f t="shared" si="17"/>
        <v>1123</v>
      </c>
      <c r="B1128" s="9" t="s">
        <v>2012</v>
      </c>
      <c r="C1128" s="9" t="s">
        <v>71</v>
      </c>
      <c r="D1128" s="9" t="s">
        <v>1661</v>
      </c>
      <c r="E1128" s="9" t="s">
        <v>2102</v>
      </c>
      <c r="F1128" s="9" t="s">
        <v>36</v>
      </c>
      <c r="G1128" s="9" t="s">
        <v>74</v>
      </c>
      <c r="H1128" s="9" t="s">
        <v>75</v>
      </c>
      <c r="I1128" s="9" t="s">
        <v>38</v>
      </c>
      <c r="J1128" s="15">
        <v>306000</v>
      </c>
      <c r="K1128" s="15">
        <v>51000</v>
      </c>
    </row>
    <row r="1129" spans="1:11">
      <c r="A1129" s="9">
        <f t="shared" si="17"/>
        <v>1124</v>
      </c>
      <c r="B1129" s="9" t="s">
        <v>2012</v>
      </c>
      <c r="C1129" s="9" t="s">
        <v>53</v>
      </c>
      <c r="D1129" s="9" t="s">
        <v>2103</v>
      </c>
      <c r="E1129" s="9" t="s">
        <v>2104</v>
      </c>
      <c r="F1129" s="9" t="s">
        <v>2104</v>
      </c>
      <c r="G1129" s="9" t="s">
        <v>1601</v>
      </c>
      <c r="H1129" s="9" t="s">
        <v>1602</v>
      </c>
      <c r="I1129" s="9" t="s">
        <v>1603</v>
      </c>
      <c r="J1129" s="15">
        <v>32600</v>
      </c>
      <c r="K1129" s="15">
        <v>5433.33</v>
      </c>
    </row>
    <row r="1130" spans="1:11">
      <c r="A1130" s="9">
        <f t="shared" si="17"/>
        <v>1125</v>
      </c>
      <c r="B1130" s="9" t="s">
        <v>2012</v>
      </c>
      <c r="C1130" s="9" t="s">
        <v>53</v>
      </c>
      <c r="D1130" s="9" t="s">
        <v>2105</v>
      </c>
      <c r="E1130" s="9" t="s">
        <v>2106</v>
      </c>
      <c r="F1130" s="9" t="s">
        <v>2106</v>
      </c>
      <c r="G1130" s="9" t="s">
        <v>1175</v>
      </c>
      <c r="H1130" s="9" t="s">
        <v>1176</v>
      </c>
      <c r="I1130" s="9" t="s">
        <v>36</v>
      </c>
      <c r="J1130" s="15">
        <v>19039.16</v>
      </c>
      <c r="K1130" s="15">
        <v>3173.2</v>
      </c>
    </row>
    <row r="1131" spans="1:11">
      <c r="A1131" s="9">
        <f t="shared" si="17"/>
        <v>1126</v>
      </c>
      <c r="B1131" s="9" t="s">
        <v>2012</v>
      </c>
      <c r="C1131" s="9" t="s">
        <v>53</v>
      </c>
      <c r="D1131" s="9" t="s">
        <v>2107</v>
      </c>
      <c r="E1131" s="9" t="s">
        <v>2106</v>
      </c>
      <c r="F1131" s="9" t="s">
        <v>2106</v>
      </c>
      <c r="G1131" s="9" t="s">
        <v>650</v>
      </c>
      <c r="H1131" s="9" t="s">
        <v>651</v>
      </c>
      <c r="I1131" s="9" t="s">
        <v>652</v>
      </c>
      <c r="J1131" s="15">
        <v>352000</v>
      </c>
      <c r="K1131" s="15">
        <v>58666.67</v>
      </c>
    </row>
    <row r="1132" spans="1:11">
      <c r="A1132" s="9">
        <f t="shared" si="17"/>
        <v>1127</v>
      </c>
      <c r="B1132" s="9" t="s">
        <v>2012</v>
      </c>
      <c r="C1132" s="9" t="s">
        <v>53</v>
      </c>
      <c r="D1132" s="9" t="s">
        <v>2108</v>
      </c>
      <c r="E1132" s="9" t="s">
        <v>2109</v>
      </c>
      <c r="F1132" s="9" t="s">
        <v>2109</v>
      </c>
      <c r="G1132" s="9" t="s">
        <v>1290</v>
      </c>
      <c r="H1132" s="9" t="s">
        <v>1291</v>
      </c>
      <c r="I1132" s="9" t="s">
        <v>1292</v>
      </c>
      <c r="J1132" s="15">
        <v>0</v>
      </c>
      <c r="K1132" s="15">
        <v>15806.33</v>
      </c>
    </row>
    <row r="1133" spans="1:11">
      <c r="A1133" s="9">
        <f t="shared" si="17"/>
        <v>1128</v>
      </c>
      <c r="B1133" s="9" t="s">
        <v>2012</v>
      </c>
      <c r="C1133" s="9" t="s">
        <v>53</v>
      </c>
      <c r="D1133" s="9" t="s">
        <v>2110</v>
      </c>
      <c r="E1133" s="9" t="s">
        <v>2109</v>
      </c>
      <c r="F1133" s="9" t="s">
        <v>2109</v>
      </c>
      <c r="G1133" s="9" t="s">
        <v>1382</v>
      </c>
      <c r="H1133" s="9" t="s">
        <v>1383</v>
      </c>
      <c r="I1133" s="9" t="s">
        <v>1384</v>
      </c>
      <c r="J1133" s="15">
        <v>162</v>
      </c>
      <c r="K1133" s="15">
        <v>27</v>
      </c>
    </row>
    <row r="1134" spans="1:11">
      <c r="A1134" s="9">
        <f t="shared" si="17"/>
        <v>1129</v>
      </c>
      <c r="B1134" s="9" t="s">
        <v>2012</v>
      </c>
      <c r="C1134" s="9" t="s">
        <v>53</v>
      </c>
      <c r="D1134" s="9" t="s">
        <v>2111</v>
      </c>
      <c r="E1134" s="9" t="s">
        <v>2109</v>
      </c>
      <c r="F1134" s="9" t="s">
        <v>2109</v>
      </c>
      <c r="G1134" s="9" t="s">
        <v>1382</v>
      </c>
      <c r="H1134" s="9" t="s">
        <v>1383</v>
      </c>
      <c r="I1134" s="9" t="s">
        <v>1384</v>
      </c>
      <c r="J1134" s="15">
        <v>85.62</v>
      </c>
      <c r="K1134" s="15">
        <v>14.27</v>
      </c>
    </row>
    <row r="1135" spans="1:11">
      <c r="A1135" s="9">
        <f t="shared" si="17"/>
        <v>1130</v>
      </c>
      <c r="B1135" s="9" t="s">
        <v>2012</v>
      </c>
      <c r="C1135" s="9" t="s">
        <v>53</v>
      </c>
      <c r="D1135" s="9" t="s">
        <v>2112</v>
      </c>
      <c r="E1135" s="9" t="s">
        <v>2109</v>
      </c>
      <c r="F1135" s="9" t="s">
        <v>2109</v>
      </c>
      <c r="G1135" s="9" t="s">
        <v>1382</v>
      </c>
      <c r="H1135" s="9" t="s">
        <v>1383</v>
      </c>
      <c r="I1135" s="9" t="s">
        <v>1384</v>
      </c>
      <c r="J1135" s="15">
        <v>1440</v>
      </c>
      <c r="K1135" s="15">
        <v>240</v>
      </c>
    </row>
    <row r="1136" spans="1:11">
      <c r="A1136" s="9">
        <f t="shared" si="17"/>
        <v>1131</v>
      </c>
      <c r="B1136" s="9" t="s">
        <v>2012</v>
      </c>
      <c r="C1136" s="9" t="s">
        <v>53</v>
      </c>
      <c r="D1136" s="9" t="s">
        <v>2113</v>
      </c>
      <c r="E1136" s="9" t="s">
        <v>2114</v>
      </c>
      <c r="F1136" s="9" t="s">
        <v>2114</v>
      </c>
      <c r="G1136" s="9" t="s">
        <v>318</v>
      </c>
      <c r="H1136" s="9" t="s">
        <v>864</v>
      </c>
      <c r="I1136" s="9" t="s">
        <v>320</v>
      </c>
      <c r="J1136" s="15">
        <v>1536</v>
      </c>
      <c r="K1136" s="15">
        <v>221.33</v>
      </c>
    </row>
    <row r="1137" spans="1:11">
      <c r="A1137" s="9">
        <f t="shared" si="17"/>
        <v>1132</v>
      </c>
      <c r="B1137" s="9" t="s">
        <v>2012</v>
      </c>
      <c r="C1137" s="9" t="s">
        <v>53</v>
      </c>
      <c r="D1137" s="9" t="s">
        <v>2115</v>
      </c>
      <c r="E1137" s="9" t="s">
        <v>2114</v>
      </c>
      <c r="F1137" s="9" t="s">
        <v>2114</v>
      </c>
      <c r="G1137" s="9" t="s">
        <v>318</v>
      </c>
      <c r="H1137" s="9" t="s">
        <v>864</v>
      </c>
      <c r="I1137" s="9" t="s">
        <v>320</v>
      </c>
      <c r="J1137" s="15">
        <v>279</v>
      </c>
      <c r="K1137" s="15">
        <v>41.5</v>
      </c>
    </row>
    <row r="1138" spans="1:11">
      <c r="A1138" s="9">
        <f t="shared" si="17"/>
        <v>1133</v>
      </c>
      <c r="B1138" s="9" t="s">
        <v>2012</v>
      </c>
      <c r="C1138" s="9" t="s">
        <v>53</v>
      </c>
      <c r="D1138" s="9" t="s">
        <v>2116</v>
      </c>
      <c r="E1138" s="9" t="s">
        <v>2114</v>
      </c>
      <c r="F1138" s="9" t="s">
        <v>2114</v>
      </c>
      <c r="G1138" s="9" t="s">
        <v>102</v>
      </c>
      <c r="H1138" s="9" t="s">
        <v>103</v>
      </c>
      <c r="I1138" s="9" t="s">
        <v>104</v>
      </c>
      <c r="J1138" s="15">
        <v>518</v>
      </c>
      <c r="K1138" s="15">
        <v>86.33</v>
      </c>
    </row>
    <row r="1139" spans="1:11">
      <c r="A1139" s="9">
        <f t="shared" si="17"/>
        <v>1134</v>
      </c>
      <c r="B1139" s="9" t="s">
        <v>2012</v>
      </c>
      <c r="C1139" s="9" t="s">
        <v>53</v>
      </c>
      <c r="D1139" s="9" t="s">
        <v>2117</v>
      </c>
      <c r="E1139" s="9" t="s">
        <v>2114</v>
      </c>
      <c r="F1139" s="9" t="s">
        <v>2114</v>
      </c>
      <c r="G1139" s="9" t="s">
        <v>102</v>
      </c>
      <c r="H1139" s="9" t="s">
        <v>103</v>
      </c>
      <c r="I1139" s="9" t="s">
        <v>104</v>
      </c>
      <c r="J1139" s="15">
        <v>648</v>
      </c>
      <c r="K1139" s="15">
        <v>108</v>
      </c>
    </row>
    <row r="1140" spans="1:11">
      <c r="A1140" s="9">
        <f t="shared" si="17"/>
        <v>1135</v>
      </c>
      <c r="B1140" s="9" t="s">
        <v>2012</v>
      </c>
      <c r="C1140" s="9" t="s">
        <v>53</v>
      </c>
      <c r="D1140" s="9" t="s">
        <v>2118</v>
      </c>
      <c r="E1140" s="9" t="s">
        <v>2114</v>
      </c>
      <c r="F1140" s="9" t="s">
        <v>2114</v>
      </c>
      <c r="G1140" s="9" t="s">
        <v>102</v>
      </c>
      <c r="H1140" s="9" t="s">
        <v>103</v>
      </c>
      <c r="I1140" s="9" t="s">
        <v>104</v>
      </c>
      <c r="J1140" s="15">
        <v>1976</v>
      </c>
      <c r="K1140" s="15">
        <v>329.33</v>
      </c>
    </row>
    <row r="1141" spans="1:11">
      <c r="A1141" s="9">
        <f t="shared" si="17"/>
        <v>1136</v>
      </c>
      <c r="B1141" s="9" t="s">
        <v>2012</v>
      </c>
      <c r="C1141" s="9" t="s">
        <v>71</v>
      </c>
      <c r="D1141" s="9" t="s">
        <v>1679</v>
      </c>
      <c r="E1141" s="9" t="s">
        <v>2106</v>
      </c>
      <c r="F1141" s="9" t="s">
        <v>36</v>
      </c>
      <c r="G1141" s="9" t="s">
        <v>74</v>
      </c>
      <c r="H1141" s="9" t="s">
        <v>75</v>
      </c>
      <c r="I1141" s="9" t="s">
        <v>38</v>
      </c>
      <c r="J1141" s="15">
        <v>525000</v>
      </c>
      <c r="K1141" s="15">
        <v>70000</v>
      </c>
    </row>
    <row r="1142" spans="1:11">
      <c r="A1142" s="9">
        <f t="shared" si="17"/>
        <v>1137</v>
      </c>
      <c r="B1142" s="9" t="s">
        <v>2012</v>
      </c>
      <c r="C1142" s="9" t="s">
        <v>53</v>
      </c>
      <c r="D1142" s="9" t="s">
        <v>2119</v>
      </c>
      <c r="E1142" s="9" t="s">
        <v>2074</v>
      </c>
      <c r="F1142" s="9" t="s">
        <v>2074</v>
      </c>
      <c r="G1142" s="9" t="s">
        <v>650</v>
      </c>
      <c r="H1142" s="9" t="s">
        <v>651</v>
      </c>
      <c r="I1142" s="9" t="s">
        <v>652</v>
      </c>
      <c r="J1142" s="15">
        <v>1864945</v>
      </c>
      <c r="K1142" s="15">
        <v>310824.17</v>
      </c>
    </row>
    <row r="1143" spans="1:11">
      <c r="A1143" s="9">
        <f t="shared" si="17"/>
        <v>1138</v>
      </c>
      <c r="B1143" s="9" t="s">
        <v>2012</v>
      </c>
      <c r="C1143" s="9" t="s">
        <v>53</v>
      </c>
      <c r="D1143" s="9" t="s">
        <v>2120</v>
      </c>
      <c r="E1143" s="9" t="s">
        <v>2074</v>
      </c>
      <c r="F1143" s="9" t="s">
        <v>2074</v>
      </c>
      <c r="G1143" s="9" t="s">
        <v>102</v>
      </c>
      <c r="H1143" s="9" t="s">
        <v>103</v>
      </c>
      <c r="I1143" s="9" t="s">
        <v>104</v>
      </c>
      <c r="J1143" s="15">
        <v>4000</v>
      </c>
      <c r="K1143" s="15">
        <v>666.67</v>
      </c>
    </row>
    <row r="1144" spans="1:11">
      <c r="A1144" s="9">
        <f t="shared" si="17"/>
        <v>1139</v>
      </c>
      <c r="B1144" s="9" t="s">
        <v>2012</v>
      </c>
      <c r="C1144" s="9" t="s">
        <v>53</v>
      </c>
      <c r="D1144" s="9" t="s">
        <v>2121</v>
      </c>
      <c r="E1144" s="9" t="s">
        <v>2122</v>
      </c>
      <c r="F1144" s="9" t="s">
        <v>2122</v>
      </c>
      <c r="G1144" s="9" t="s">
        <v>2036</v>
      </c>
      <c r="H1144" s="9" t="s">
        <v>1591</v>
      </c>
      <c r="I1144" s="9" t="s">
        <v>2037</v>
      </c>
      <c r="J1144" s="15">
        <v>2066307.01</v>
      </c>
      <c r="K1144" s="15">
        <v>344384.5</v>
      </c>
    </row>
    <row r="1145" spans="1:11">
      <c r="A1145" s="9">
        <f t="shared" si="17"/>
        <v>1140</v>
      </c>
      <c r="B1145" s="9" t="s">
        <v>2012</v>
      </c>
      <c r="C1145" s="9" t="s">
        <v>71</v>
      </c>
      <c r="D1145" s="9" t="s">
        <v>1729</v>
      </c>
      <c r="E1145" s="9" t="s">
        <v>2122</v>
      </c>
      <c r="F1145" s="9" t="s">
        <v>36</v>
      </c>
      <c r="G1145" s="9" t="s">
        <v>74</v>
      </c>
      <c r="H1145" s="9" t="s">
        <v>75</v>
      </c>
      <c r="I1145" s="9" t="s">
        <v>38</v>
      </c>
      <c r="J1145" s="15">
        <v>408000</v>
      </c>
      <c r="K1145" s="15">
        <v>68000</v>
      </c>
    </row>
    <row r="1146" spans="1:11">
      <c r="A1146" s="9">
        <f t="shared" si="17"/>
        <v>1141</v>
      </c>
      <c r="B1146" s="9" t="s">
        <v>2012</v>
      </c>
      <c r="C1146" s="9" t="s">
        <v>71</v>
      </c>
      <c r="D1146" s="9" t="s">
        <v>1766</v>
      </c>
      <c r="E1146" s="9" t="s">
        <v>2123</v>
      </c>
      <c r="F1146" s="9" t="s">
        <v>36</v>
      </c>
      <c r="G1146" s="9" t="s">
        <v>74</v>
      </c>
      <c r="H1146" s="9" t="s">
        <v>75</v>
      </c>
      <c r="I1146" s="9" t="s">
        <v>38</v>
      </c>
      <c r="J1146" s="15">
        <v>200000</v>
      </c>
      <c r="K1146" s="15">
        <v>33333.33</v>
      </c>
    </row>
    <row r="1147" spans="1:11">
      <c r="A1147" s="9">
        <f t="shared" si="17"/>
        <v>1142</v>
      </c>
      <c r="B1147" s="9" t="s">
        <v>2012</v>
      </c>
      <c r="C1147" s="9" t="s">
        <v>53</v>
      </c>
      <c r="D1147" s="9" t="s">
        <v>2124</v>
      </c>
      <c r="E1147" s="9" t="s">
        <v>2125</v>
      </c>
      <c r="F1147" s="9" t="s">
        <v>2125</v>
      </c>
      <c r="G1147" s="9" t="s">
        <v>983</v>
      </c>
      <c r="H1147" s="9" t="s">
        <v>103</v>
      </c>
      <c r="I1147" s="9" t="s">
        <v>984</v>
      </c>
      <c r="J1147" s="15">
        <v>2205</v>
      </c>
      <c r="K1147" s="15">
        <v>367.5</v>
      </c>
    </row>
    <row r="1148" spans="1:11">
      <c r="A1148" s="9">
        <f t="shared" si="17"/>
        <v>1143</v>
      </c>
      <c r="B1148" s="9" t="s">
        <v>2012</v>
      </c>
      <c r="C1148" s="9" t="s">
        <v>53</v>
      </c>
      <c r="D1148" s="9" t="s">
        <v>2126</v>
      </c>
      <c r="E1148" s="9" t="s">
        <v>2125</v>
      </c>
      <c r="F1148" s="9" t="s">
        <v>2125</v>
      </c>
      <c r="G1148" s="9" t="s">
        <v>983</v>
      </c>
      <c r="H1148" s="9" t="s">
        <v>103</v>
      </c>
      <c r="I1148" s="9" t="s">
        <v>984</v>
      </c>
      <c r="J1148" s="15">
        <v>6695</v>
      </c>
      <c r="K1148" s="15">
        <v>318.82</v>
      </c>
    </row>
    <row r="1149" spans="1:11">
      <c r="A1149" s="9">
        <f t="shared" si="17"/>
        <v>1144</v>
      </c>
      <c r="B1149" s="9" t="s">
        <v>2012</v>
      </c>
      <c r="C1149" s="9" t="s">
        <v>53</v>
      </c>
      <c r="D1149" s="9" t="s">
        <v>2127</v>
      </c>
      <c r="E1149" s="9" t="s">
        <v>2125</v>
      </c>
      <c r="F1149" s="9" t="s">
        <v>2125</v>
      </c>
      <c r="G1149" s="9" t="s">
        <v>983</v>
      </c>
      <c r="H1149" s="9" t="s">
        <v>103</v>
      </c>
      <c r="I1149" s="9" t="s">
        <v>984</v>
      </c>
      <c r="J1149" s="15">
        <v>1165</v>
      </c>
      <c r="K1149" s="15">
        <v>194.17</v>
      </c>
    </row>
    <row r="1150" spans="1:11">
      <c r="A1150" s="9">
        <f t="shared" si="17"/>
        <v>1145</v>
      </c>
      <c r="B1150" s="9" t="s">
        <v>2012</v>
      </c>
      <c r="C1150" s="9" t="s">
        <v>53</v>
      </c>
      <c r="D1150" s="9" t="s">
        <v>2128</v>
      </c>
      <c r="E1150" s="9" t="s">
        <v>2125</v>
      </c>
      <c r="F1150" s="9" t="s">
        <v>2125</v>
      </c>
      <c r="G1150" s="9" t="s">
        <v>983</v>
      </c>
      <c r="H1150" s="9" t="s">
        <v>103</v>
      </c>
      <c r="I1150" s="9" t="s">
        <v>984</v>
      </c>
      <c r="J1150" s="15">
        <v>2716</v>
      </c>
      <c r="K1150" s="15">
        <v>452.66</v>
      </c>
    </row>
    <row r="1151" spans="1:11">
      <c r="A1151" s="9">
        <f t="shared" si="17"/>
        <v>1146</v>
      </c>
      <c r="B1151" s="9" t="s">
        <v>2012</v>
      </c>
      <c r="C1151" s="9" t="s">
        <v>53</v>
      </c>
      <c r="D1151" s="9" t="s">
        <v>2129</v>
      </c>
      <c r="E1151" s="9" t="s">
        <v>2130</v>
      </c>
      <c r="F1151" s="9" t="s">
        <v>2130</v>
      </c>
      <c r="G1151" s="9" t="s">
        <v>983</v>
      </c>
      <c r="H1151" s="9" t="s">
        <v>103</v>
      </c>
      <c r="I1151" s="9" t="s">
        <v>984</v>
      </c>
      <c r="J1151" s="15">
        <v>2330</v>
      </c>
      <c r="K1151" s="15">
        <v>388.34</v>
      </c>
    </row>
    <row r="1152" spans="1:11">
      <c r="A1152" s="9">
        <f t="shared" si="17"/>
        <v>1147</v>
      </c>
      <c r="B1152" s="9" t="s">
        <v>2012</v>
      </c>
      <c r="C1152" s="9" t="s">
        <v>53</v>
      </c>
      <c r="D1152" s="9" t="s">
        <v>2131</v>
      </c>
      <c r="E1152" s="9" t="s">
        <v>2130</v>
      </c>
      <c r="F1152" s="9" t="s">
        <v>2130</v>
      </c>
      <c r="G1152" s="9" t="s">
        <v>2132</v>
      </c>
      <c r="H1152" s="9" t="s">
        <v>2133</v>
      </c>
      <c r="I1152" s="9" t="s">
        <v>2134</v>
      </c>
      <c r="J1152" s="15">
        <v>270912</v>
      </c>
      <c r="K1152" s="15">
        <v>45152</v>
      </c>
    </row>
    <row r="1153" spans="1:11">
      <c r="A1153" s="9">
        <f t="shared" si="17"/>
        <v>1148</v>
      </c>
      <c r="B1153" s="9" t="s">
        <v>2012</v>
      </c>
      <c r="C1153" s="9" t="s">
        <v>53</v>
      </c>
      <c r="D1153" s="9" t="s">
        <v>2135</v>
      </c>
      <c r="E1153" s="9" t="s">
        <v>2136</v>
      </c>
      <c r="F1153" s="9" t="s">
        <v>2136</v>
      </c>
      <c r="G1153" s="9" t="s">
        <v>650</v>
      </c>
      <c r="H1153" s="9" t="s">
        <v>651</v>
      </c>
      <c r="I1153" s="9" t="s">
        <v>652</v>
      </c>
      <c r="J1153" s="15">
        <v>1814085</v>
      </c>
      <c r="K1153" s="15">
        <v>302347.5</v>
      </c>
    </row>
    <row r="1154" spans="1:11">
      <c r="A1154" s="9">
        <f t="shared" si="17"/>
        <v>1149</v>
      </c>
      <c r="B1154" s="9" t="s">
        <v>2012</v>
      </c>
      <c r="C1154" s="9" t="s">
        <v>71</v>
      </c>
      <c r="D1154" s="9" t="s">
        <v>1659</v>
      </c>
      <c r="E1154" s="9" t="s">
        <v>2093</v>
      </c>
      <c r="F1154" s="9" t="s">
        <v>36</v>
      </c>
      <c r="G1154" s="9" t="s">
        <v>74</v>
      </c>
      <c r="H1154" s="9" t="s">
        <v>75</v>
      </c>
      <c r="I1154" s="9" t="s">
        <v>38</v>
      </c>
      <c r="J1154" s="15">
        <v>398776</v>
      </c>
      <c r="K1154" s="15">
        <v>66462.67</v>
      </c>
    </row>
    <row r="1155" spans="1:11">
      <c r="A1155" s="9">
        <f t="shared" si="17"/>
        <v>1150</v>
      </c>
      <c r="B1155" s="9" t="s">
        <v>2012</v>
      </c>
      <c r="C1155" s="9" t="s">
        <v>71</v>
      </c>
      <c r="D1155" s="9" t="s">
        <v>1750</v>
      </c>
      <c r="E1155" s="9" t="s">
        <v>2122</v>
      </c>
      <c r="F1155" s="9" t="s">
        <v>36</v>
      </c>
      <c r="G1155" s="9" t="s">
        <v>74</v>
      </c>
      <c r="H1155" s="9" t="s">
        <v>75</v>
      </c>
      <c r="I1155" s="9" t="s">
        <v>38</v>
      </c>
      <c r="J1155" s="15">
        <v>500000</v>
      </c>
      <c r="K1155" s="15">
        <v>78002.16</v>
      </c>
    </row>
    <row r="1156" spans="1:11">
      <c r="A1156" s="9">
        <f t="shared" si="17"/>
        <v>1151</v>
      </c>
      <c r="B1156" s="9" t="s">
        <v>2012</v>
      </c>
      <c r="C1156" s="9" t="s">
        <v>71</v>
      </c>
      <c r="D1156" s="9" t="s">
        <v>1718</v>
      </c>
      <c r="E1156" s="9" t="s">
        <v>2137</v>
      </c>
      <c r="F1156" s="9" t="s">
        <v>36</v>
      </c>
      <c r="G1156" s="9" t="s">
        <v>74</v>
      </c>
      <c r="H1156" s="9" t="s">
        <v>75</v>
      </c>
      <c r="I1156" s="9" t="s">
        <v>38</v>
      </c>
      <c r="J1156" s="15">
        <v>408000</v>
      </c>
      <c r="K1156" s="15">
        <v>68000</v>
      </c>
    </row>
    <row r="1157" spans="1:11">
      <c r="A1157" s="9">
        <f t="shared" si="17"/>
        <v>1152</v>
      </c>
      <c r="B1157" s="9" t="s">
        <v>2012</v>
      </c>
      <c r="C1157" s="9" t="s">
        <v>71</v>
      </c>
      <c r="D1157" s="9" t="s">
        <v>1801</v>
      </c>
      <c r="E1157" s="9" t="s">
        <v>2137</v>
      </c>
      <c r="F1157" s="9" t="s">
        <v>36</v>
      </c>
      <c r="G1157" s="9" t="s">
        <v>74</v>
      </c>
      <c r="H1157" s="9" t="s">
        <v>75</v>
      </c>
      <c r="I1157" s="9" t="s">
        <v>38</v>
      </c>
      <c r="J1157" s="15">
        <v>564000</v>
      </c>
      <c r="K1157" s="15">
        <v>94000</v>
      </c>
    </row>
    <row r="1158" spans="1:11">
      <c r="A1158" s="9">
        <f t="shared" si="17"/>
        <v>1153</v>
      </c>
      <c r="B1158" s="9" t="s">
        <v>2012</v>
      </c>
      <c r="C1158" s="9" t="s">
        <v>53</v>
      </c>
      <c r="D1158" s="9" t="s">
        <v>2138</v>
      </c>
      <c r="E1158" s="9" t="s">
        <v>2139</v>
      </c>
      <c r="F1158" s="9" t="s">
        <v>2139</v>
      </c>
      <c r="G1158" s="9" t="s">
        <v>102</v>
      </c>
      <c r="H1158" s="9" t="s">
        <v>103</v>
      </c>
      <c r="I1158" s="9" t="s">
        <v>104</v>
      </c>
      <c r="J1158" s="15">
        <v>478</v>
      </c>
      <c r="K1158" s="15">
        <v>79.67</v>
      </c>
    </row>
    <row r="1159" spans="1:11">
      <c r="A1159" s="9">
        <f t="shared" ref="A1159:A1205" si="18">A1158+1</f>
        <v>1154</v>
      </c>
      <c r="B1159" s="9" t="s">
        <v>2012</v>
      </c>
      <c r="C1159" s="9" t="s">
        <v>53</v>
      </c>
      <c r="D1159" s="9" t="s">
        <v>2140</v>
      </c>
      <c r="E1159" s="9" t="s">
        <v>2139</v>
      </c>
      <c r="F1159" s="9" t="s">
        <v>2139</v>
      </c>
      <c r="G1159" s="9" t="s">
        <v>102</v>
      </c>
      <c r="H1159" s="9" t="s">
        <v>103</v>
      </c>
      <c r="I1159" s="9" t="s">
        <v>104</v>
      </c>
      <c r="J1159" s="15">
        <v>2486</v>
      </c>
      <c r="K1159" s="15">
        <v>414.34</v>
      </c>
    </row>
    <row r="1160" spans="1:11">
      <c r="A1160" s="9">
        <f t="shared" si="18"/>
        <v>1155</v>
      </c>
      <c r="B1160" s="9" t="s">
        <v>2012</v>
      </c>
      <c r="C1160" s="9" t="s">
        <v>53</v>
      </c>
      <c r="D1160" s="9" t="s">
        <v>2141</v>
      </c>
      <c r="E1160" s="9" t="s">
        <v>2142</v>
      </c>
      <c r="F1160" s="9" t="s">
        <v>2142</v>
      </c>
      <c r="G1160" s="9" t="s">
        <v>2143</v>
      </c>
      <c r="H1160" s="9" t="s">
        <v>1698</v>
      </c>
      <c r="I1160" s="9" t="s">
        <v>2144</v>
      </c>
      <c r="J1160" s="15">
        <v>22000</v>
      </c>
      <c r="K1160" s="15">
        <v>3666.67</v>
      </c>
    </row>
    <row r="1161" spans="1:11">
      <c r="A1161" s="9">
        <f t="shared" si="18"/>
        <v>1156</v>
      </c>
      <c r="B1161" s="9" t="s">
        <v>2012</v>
      </c>
      <c r="C1161" s="9" t="s">
        <v>53</v>
      </c>
      <c r="D1161" s="9" t="s">
        <v>2145</v>
      </c>
      <c r="E1161" s="9" t="s">
        <v>2142</v>
      </c>
      <c r="F1161" s="9" t="s">
        <v>2142</v>
      </c>
      <c r="G1161" s="9" t="s">
        <v>650</v>
      </c>
      <c r="H1161" s="9" t="s">
        <v>651</v>
      </c>
      <c r="I1161" s="9" t="s">
        <v>652</v>
      </c>
      <c r="J1161" s="15">
        <v>131600</v>
      </c>
      <c r="K1161" s="15">
        <v>21933.33</v>
      </c>
    </row>
    <row r="1162" spans="1:11">
      <c r="A1162" s="9">
        <f t="shared" si="18"/>
        <v>1157</v>
      </c>
      <c r="B1162" s="9" t="s">
        <v>2012</v>
      </c>
      <c r="C1162" s="9" t="s">
        <v>71</v>
      </c>
      <c r="D1162" s="9" t="s">
        <v>1701</v>
      </c>
      <c r="E1162" s="9" t="s">
        <v>2146</v>
      </c>
      <c r="F1162" s="9" t="s">
        <v>36</v>
      </c>
      <c r="G1162" s="9" t="s">
        <v>74</v>
      </c>
      <c r="H1162" s="9" t="s">
        <v>75</v>
      </c>
      <c r="I1162" s="9" t="s">
        <v>38</v>
      </c>
      <c r="J1162" s="15">
        <v>150460</v>
      </c>
      <c r="K1162" s="15">
        <v>25076.67</v>
      </c>
    </row>
    <row r="1163" spans="1:11">
      <c r="A1163" s="9">
        <f t="shared" si="18"/>
        <v>1158</v>
      </c>
      <c r="B1163" s="9" t="s">
        <v>2012</v>
      </c>
      <c r="C1163" s="9" t="s">
        <v>53</v>
      </c>
      <c r="D1163" s="9" t="s">
        <v>2147</v>
      </c>
      <c r="E1163" s="9" t="s">
        <v>2148</v>
      </c>
      <c r="F1163" s="9" t="s">
        <v>2148</v>
      </c>
      <c r="G1163" s="9" t="s">
        <v>650</v>
      </c>
      <c r="H1163" s="9" t="s">
        <v>651</v>
      </c>
      <c r="I1163" s="9" t="s">
        <v>652</v>
      </c>
      <c r="J1163" s="15">
        <v>132120</v>
      </c>
      <c r="K1163" s="15">
        <v>22020</v>
      </c>
    </row>
    <row r="1164" spans="1:11">
      <c r="A1164" s="9">
        <f t="shared" si="18"/>
        <v>1159</v>
      </c>
      <c r="B1164" s="9" t="s">
        <v>2012</v>
      </c>
      <c r="C1164" s="9" t="s">
        <v>71</v>
      </c>
      <c r="D1164" s="9" t="s">
        <v>1777</v>
      </c>
      <c r="E1164" s="9" t="s">
        <v>2130</v>
      </c>
      <c r="F1164" s="9" t="s">
        <v>36</v>
      </c>
      <c r="G1164" s="9" t="s">
        <v>74</v>
      </c>
      <c r="H1164" s="9" t="s">
        <v>75</v>
      </c>
      <c r="I1164" s="9" t="s">
        <v>38</v>
      </c>
      <c r="J1164" s="15">
        <v>408000</v>
      </c>
      <c r="K1164" s="15">
        <v>68000</v>
      </c>
    </row>
    <row r="1165" spans="1:11">
      <c r="A1165" s="9">
        <f t="shared" si="18"/>
        <v>1160</v>
      </c>
      <c r="B1165" s="9" t="s">
        <v>2012</v>
      </c>
      <c r="C1165" s="9" t="s">
        <v>71</v>
      </c>
      <c r="D1165" s="9" t="s">
        <v>1790</v>
      </c>
      <c r="E1165" s="9" t="s">
        <v>2139</v>
      </c>
      <c r="F1165" s="9" t="s">
        <v>36</v>
      </c>
      <c r="G1165" s="9" t="s">
        <v>74</v>
      </c>
      <c r="H1165" s="9" t="s">
        <v>75</v>
      </c>
      <c r="I1165" s="9" t="s">
        <v>38</v>
      </c>
      <c r="J1165" s="15">
        <v>140000</v>
      </c>
      <c r="K1165" s="15">
        <v>23333.33</v>
      </c>
    </row>
    <row r="1166" spans="1:11">
      <c r="A1166" s="9">
        <f t="shared" si="18"/>
        <v>1161</v>
      </c>
      <c r="B1166" s="9" t="s">
        <v>2012</v>
      </c>
      <c r="C1166" s="9" t="s">
        <v>71</v>
      </c>
      <c r="D1166" s="9" t="s">
        <v>1827</v>
      </c>
      <c r="E1166" s="9" t="s">
        <v>2148</v>
      </c>
      <c r="F1166" s="9" t="s">
        <v>36</v>
      </c>
      <c r="G1166" s="9" t="s">
        <v>74</v>
      </c>
      <c r="H1166" s="9" t="s">
        <v>75</v>
      </c>
      <c r="I1166" s="9" t="s">
        <v>38</v>
      </c>
      <c r="J1166" s="15">
        <v>232750</v>
      </c>
      <c r="K1166" s="15">
        <v>38791.67</v>
      </c>
    </row>
    <row r="1167" spans="1:11">
      <c r="A1167" s="9">
        <f t="shared" si="18"/>
        <v>1162</v>
      </c>
      <c r="B1167" s="9" t="s">
        <v>2012</v>
      </c>
      <c r="C1167" s="9" t="s">
        <v>53</v>
      </c>
      <c r="D1167" s="9" t="s">
        <v>1806</v>
      </c>
      <c r="E1167" s="9" t="s">
        <v>2149</v>
      </c>
      <c r="F1167" s="9" t="s">
        <v>2149</v>
      </c>
      <c r="G1167" s="9" t="s">
        <v>83</v>
      </c>
      <c r="H1167" s="9" t="s">
        <v>84</v>
      </c>
      <c r="I1167" s="9" t="s">
        <v>85</v>
      </c>
      <c r="J1167" s="15">
        <v>690</v>
      </c>
      <c r="K1167" s="15">
        <v>115</v>
      </c>
    </row>
    <row r="1168" spans="1:11">
      <c r="A1168" s="9">
        <f t="shared" si="18"/>
        <v>1163</v>
      </c>
      <c r="B1168" s="9" t="s">
        <v>2012</v>
      </c>
      <c r="C1168" s="9" t="s">
        <v>71</v>
      </c>
      <c r="D1168" s="9" t="s">
        <v>1828</v>
      </c>
      <c r="E1168" s="9" t="s">
        <v>2149</v>
      </c>
      <c r="F1168" s="9" t="s">
        <v>36</v>
      </c>
      <c r="G1168" s="9" t="s">
        <v>74</v>
      </c>
      <c r="H1168" s="9" t="s">
        <v>75</v>
      </c>
      <c r="I1168" s="9" t="s">
        <v>38</v>
      </c>
      <c r="J1168" s="15">
        <v>238000</v>
      </c>
      <c r="K1168" s="15">
        <v>39666.67</v>
      </c>
    </row>
    <row r="1169" spans="1:11">
      <c r="A1169" s="9">
        <f t="shared" si="18"/>
        <v>1164</v>
      </c>
      <c r="B1169" s="9" t="s">
        <v>2012</v>
      </c>
      <c r="C1169" s="9" t="s">
        <v>53</v>
      </c>
      <c r="D1169" s="9" t="s">
        <v>2150</v>
      </c>
      <c r="E1169" s="9" t="s">
        <v>2151</v>
      </c>
      <c r="F1169" s="9" t="s">
        <v>2151</v>
      </c>
      <c r="G1169" s="9" t="s">
        <v>1382</v>
      </c>
      <c r="H1169" s="9" t="s">
        <v>1383</v>
      </c>
      <c r="I1169" s="9" t="s">
        <v>1384</v>
      </c>
      <c r="J1169" s="15">
        <v>965.69</v>
      </c>
      <c r="K1169" s="15">
        <v>160.94999999999999</v>
      </c>
    </row>
    <row r="1170" spans="1:11">
      <c r="A1170" s="9">
        <f t="shared" si="18"/>
        <v>1165</v>
      </c>
      <c r="B1170" s="9" t="s">
        <v>2012</v>
      </c>
      <c r="C1170" s="9" t="s">
        <v>53</v>
      </c>
      <c r="D1170" s="9" t="s">
        <v>2152</v>
      </c>
      <c r="E1170" s="9" t="s">
        <v>2151</v>
      </c>
      <c r="F1170" s="9" t="s">
        <v>2151</v>
      </c>
      <c r="G1170" s="9" t="s">
        <v>2036</v>
      </c>
      <c r="H1170" s="9" t="s">
        <v>1591</v>
      </c>
      <c r="I1170" s="9" t="s">
        <v>2037</v>
      </c>
      <c r="J1170" s="15">
        <v>1778644.3</v>
      </c>
      <c r="K1170" s="15">
        <v>296440.71999999997</v>
      </c>
    </row>
    <row r="1171" spans="1:11">
      <c r="A1171" s="9">
        <f t="shared" si="18"/>
        <v>1166</v>
      </c>
      <c r="B1171" s="9" t="s">
        <v>2012</v>
      </c>
      <c r="C1171" s="9" t="s">
        <v>53</v>
      </c>
      <c r="D1171" s="9" t="s">
        <v>2153</v>
      </c>
      <c r="E1171" s="9" t="s">
        <v>2151</v>
      </c>
      <c r="F1171" s="9" t="s">
        <v>2151</v>
      </c>
      <c r="G1171" s="9" t="s">
        <v>1290</v>
      </c>
      <c r="H1171" s="9" t="s">
        <v>1291</v>
      </c>
      <c r="I1171" s="9" t="s">
        <v>1292</v>
      </c>
      <c r="J1171" s="15">
        <v>94838</v>
      </c>
      <c r="K1171" s="15">
        <v>15806.33</v>
      </c>
    </row>
    <row r="1172" spans="1:11">
      <c r="A1172" s="9">
        <f t="shared" si="18"/>
        <v>1167</v>
      </c>
      <c r="B1172" s="9" t="s">
        <v>2154</v>
      </c>
      <c r="C1172" s="9" t="s">
        <v>53</v>
      </c>
      <c r="D1172" s="9" t="s">
        <v>2155</v>
      </c>
      <c r="E1172" s="9" t="s">
        <v>2156</v>
      </c>
      <c r="F1172" s="9" t="s">
        <v>2156</v>
      </c>
      <c r="G1172" s="9" t="s">
        <v>650</v>
      </c>
      <c r="H1172" s="9" t="s">
        <v>651</v>
      </c>
      <c r="I1172" s="9" t="s">
        <v>652</v>
      </c>
      <c r="J1172" s="15">
        <v>464130</v>
      </c>
      <c r="K1172" s="15">
        <v>77355</v>
      </c>
    </row>
    <row r="1173" spans="1:11">
      <c r="A1173" s="9">
        <f t="shared" si="18"/>
        <v>1168</v>
      </c>
      <c r="B1173" s="9" t="s">
        <v>2154</v>
      </c>
      <c r="C1173" s="9" t="s">
        <v>53</v>
      </c>
      <c r="D1173" s="9" t="s">
        <v>2157</v>
      </c>
      <c r="E1173" s="9" t="s">
        <v>2158</v>
      </c>
      <c r="F1173" s="9" t="s">
        <v>2158</v>
      </c>
      <c r="G1173" s="9" t="s">
        <v>983</v>
      </c>
      <c r="H1173" s="9" t="s">
        <v>103</v>
      </c>
      <c r="I1173" s="9" t="s">
        <v>984</v>
      </c>
      <c r="J1173" s="15">
        <v>1726</v>
      </c>
      <c r="K1173" s="15">
        <v>287.67</v>
      </c>
    </row>
    <row r="1174" spans="1:11">
      <c r="A1174" s="9">
        <f t="shared" si="18"/>
        <v>1169</v>
      </c>
      <c r="B1174" s="9" t="s">
        <v>2154</v>
      </c>
      <c r="C1174" s="9" t="s">
        <v>53</v>
      </c>
      <c r="D1174" s="9" t="s">
        <v>2159</v>
      </c>
      <c r="E1174" s="9" t="s">
        <v>2158</v>
      </c>
      <c r="F1174" s="9" t="s">
        <v>2158</v>
      </c>
      <c r="G1174" s="9" t="s">
        <v>983</v>
      </c>
      <c r="H1174" s="9" t="s">
        <v>103</v>
      </c>
      <c r="I1174" s="9" t="s">
        <v>984</v>
      </c>
      <c r="J1174" s="15">
        <v>103</v>
      </c>
      <c r="K1174" s="15">
        <v>17.170000000000002</v>
      </c>
    </row>
    <row r="1175" spans="1:11">
      <c r="A1175" s="9">
        <f t="shared" si="18"/>
        <v>1170</v>
      </c>
      <c r="B1175" s="9" t="s">
        <v>2154</v>
      </c>
      <c r="C1175" s="9" t="s">
        <v>53</v>
      </c>
      <c r="D1175" s="9" t="s">
        <v>2160</v>
      </c>
      <c r="E1175" s="9" t="s">
        <v>2158</v>
      </c>
      <c r="F1175" s="9" t="s">
        <v>2158</v>
      </c>
      <c r="G1175" s="9" t="s">
        <v>2161</v>
      </c>
      <c r="H1175" s="9" t="s">
        <v>2162</v>
      </c>
      <c r="I1175" s="9" t="s">
        <v>2163</v>
      </c>
      <c r="J1175" s="15">
        <v>404800</v>
      </c>
      <c r="K1175" s="15">
        <v>67466.67</v>
      </c>
    </row>
    <row r="1176" spans="1:11">
      <c r="A1176" s="9">
        <f t="shared" si="18"/>
        <v>1171</v>
      </c>
      <c r="B1176" s="9" t="s">
        <v>2154</v>
      </c>
      <c r="C1176" s="9" t="s">
        <v>53</v>
      </c>
      <c r="D1176" s="9" t="s">
        <v>2164</v>
      </c>
      <c r="E1176" s="9" t="s">
        <v>2165</v>
      </c>
      <c r="F1176" s="9" t="s">
        <v>2165</v>
      </c>
      <c r="G1176" s="9" t="s">
        <v>650</v>
      </c>
      <c r="H1176" s="9" t="s">
        <v>651</v>
      </c>
      <c r="I1176" s="9" t="s">
        <v>652</v>
      </c>
      <c r="J1176" s="15">
        <v>870000</v>
      </c>
      <c r="K1176" s="15">
        <v>145000</v>
      </c>
    </row>
    <row r="1177" spans="1:11">
      <c r="A1177" s="9">
        <f t="shared" si="18"/>
        <v>1172</v>
      </c>
      <c r="B1177" s="9" t="s">
        <v>2154</v>
      </c>
      <c r="C1177" s="9" t="s">
        <v>53</v>
      </c>
      <c r="D1177" s="9" t="s">
        <v>2166</v>
      </c>
      <c r="E1177" s="9" t="s">
        <v>2167</v>
      </c>
      <c r="F1177" s="9" t="s">
        <v>2167</v>
      </c>
      <c r="G1177" s="9" t="s">
        <v>983</v>
      </c>
      <c r="H1177" s="9" t="s">
        <v>103</v>
      </c>
      <c r="I1177" s="9" t="s">
        <v>984</v>
      </c>
      <c r="J1177" s="15">
        <v>2162</v>
      </c>
      <c r="K1177" s="15">
        <v>360.33</v>
      </c>
    </row>
    <row r="1178" spans="1:11">
      <c r="A1178" s="9">
        <f t="shared" si="18"/>
        <v>1173</v>
      </c>
      <c r="B1178" s="9" t="s">
        <v>2154</v>
      </c>
      <c r="C1178" s="9" t="s">
        <v>53</v>
      </c>
      <c r="D1178" s="9" t="s">
        <v>2168</v>
      </c>
      <c r="E1178" s="9" t="s">
        <v>2169</v>
      </c>
      <c r="F1178" s="9" t="s">
        <v>2169</v>
      </c>
      <c r="G1178" s="9" t="s">
        <v>544</v>
      </c>
      <c r="H1178" s="9" t="s">
        <v>545</v>
      </c>
      <c r="I1178" s="9" t="s">
        <v>546</v>
      </c>
      <c r="J1178" s="15">
        <v>2414</v>
      </c>
      <c r="K1178" s="15">
        <v>402.33</v>
      </c>
    </row>
    <row r="1179" spans="1:11">
      <c r="A1179" s="9">
        <f t="shared" si="18"/>
        <v>1174</v>
      </c>
      <c r="B1179" s="9" t="s">
        <v>2154</v>
      </c>
      <c r="C1179" s="9" t="s">
        <v>53</v>
      </c>
      <c r="D1179" s="9" t="s">
        <v>2170</v>
      </c>
      <c r="E1179" s="9" t="s">
        <v>2171</v>
      </c>
      <c r="F1179" s="9" t="s">
        <v>2171</v>
      </c>
      <c r="G1179" s="9" t="s">
        <v>650</v>
      </c>
      <c r="H1179" s="9" t="s">
        <v>651</v>
      </c>
      <c r="I1179" s="9" t="s">
        <v>652</v>
      </c>
      <c r="J1179" s="15">
        <v>1440000</v>
      </c>
      <c r="K1179" s="15">
        <v>240000</v>
      </c>
    </row>
    <row r="1180" spans="1:11">
      <c r="A1180" s="9">
        <f t="shared" si="18"/>
        <v>1175</v>
      </c>
      <c r="B1180" s="9" t="s">
        <v>2154</v>
      </c>
      <c r="C1180" s="9" t="s">
        <v>53</v>
      </c>
      <c r="D1180" s="9" t="s">
        <v>2172</v>
      </c>
      <c r="E1180" s="9" t="s">
        <v>2173</v>
      </c>
      <c r="F1180" s="9" t="s">
        <v>2173</v>
      </c>
      <c r="G1180" s="9" t="s">
        <v>113</v>
      </c>
      <c r="H1180" s="9" t="s">
        <v>114</v>
      </c>
      <c r="I1180" s="9" t="s">
        <v>115</v>
      </c>
      <c r="J1180" s="15">
        <v>255240</v>
      </c>
      <c r="K1180" s="15">
        <v>42540</v>
      </c>
    </row>
    <row r="1181" spans="1:11">
      <c r="A1181" s="9">
        <f t="shared" si="18"/>
        <v>1176</v>
      </c>
      <c r="B1181" s="9" t="s">
        <v>2154</v>
      </c>
      <c r="C1181" s="9" t="s">
        <v>53</v>
      </c>
      <c r="D1181" s="9" t="s">
        <v>2174</v>
      </c>
      <c r="E1181" s="9" t="s">
        <v>2175</v>
      </c>
      <c r="F1181" s="9" t="s">
        <v>2175</v>
      </c>
      <c r="G1181" s="9" t="s">
        <v>650</v>
      </c>
      <c r="H1181" s="9" t="s">
        <v>651</v>
      </c>
      <c r="I1181" s="9" t="s">
        <v>652</v>
      </c>
      <c r="J1181" s="15">
        <v>830000</v>
      </c>
      <c r="K1181" s="15">
        <v>138333.32999999999</v>
      </c>
    </row>
    <row r="1182" spans="1:11">
      <c r="A1182" s="9">
        <f t="shared" si="18"/>
        <v>1177</v>
      </c>
      <c r="B1182" s="9" t="s">
        <v>2154</v>
      </c>
      <c r="C1182" s="9" t="s">
        <v>53</v>
      </c>
      <c r="D1182" s="9" t="s">
        <v>2176</v>
      </c>
      <c r="E1182" s="9" t="s">
        <v>2177</v>
      </c>
      <c r="F1182" s="9" t="s">
        <v>2177</v>
      </c>
      <c r="G1182" s="9" t="s">
        <v>1290</v>
      </c>
      <c r="H1182" s="9" t="s">
        <v>1291</v>
      </c>
      <c r="I1182" s="9" t="s">
        <v>1292</v>
      </c>
      <c r="J1182" s="15">
        <v>0</v>
      </c>
      <c r="K1182" s="15">
        <v>15806.33</v>
      </c>
    </row>
    <row r="1183" spans="1:11">
      <c r="A1183" s="9">
        <f t="shared" si="18"/>
        <v>1178</v>
      </c>
      <c r="B1183" s="9" t="s">
        <v>2154</v>
      </c>
      <c r="C1183" s="9" t="s">
        <v>53</v>
      </c>
      <c r="D1183" s="9" t="s">
        <v>2178</v>
      </c>
      <c r="E1183" s="9" t="s">
        <v>2179</v>
      </c>
      <c r="F1183" s="9" t="s">
        <v>2179</v>
      </c>
      <c r="G1183" s="9" t="s">
        <v>650</v>
      </c>
      <c r="H1183" s="9" t="s">
        <v>651</v>
      </c>
      <c r="I1183" s="9" t="s">
        <v>652</v>
      </c>
      <c r="J1183" s="15">
        <v>1892800</v>
      </c>
      <c r="K1183" s="15">
        <v>315466.65999999997</v>
      </c>
    </row>
    <row r="1184" spans="1:11">
      <c r="A1184" s="9">
        <f t="shared" si="18"/>
        <v>1179</v>
      </c>
      <c r="B1184" s="9" t="s">
        <v>2154</v>
      </c>
      <c r="C1184" s="9" t="s">
        <v>53</v>
      </c>
      <c r="D1184" s="9" t="s">
        <v>2180</v>
      </c>
      <c r="E1184" s="9" t="s">
        <v>2181</v>
      </c>
      <c r="F1184" s="9" t="s">
        <v>2181</v>
      </c>
      <c r="G1184" s="9" t="s">
        <v>650</v>
      </c>
      <c r="H1184" s="9" t="s">
        <v>651</v>
      </c>
      <c r="I1184" s="9" t="s">
        <v>652</v>
      </c>
      <c r="J1184" s="15">
        <v>1780000</v>
      </c>
      <c r="K1184" s="15">
        <v>296666.67</v>
      </c>
    </row>
    <row r="1185" spans="1:11">
      <c r="A1185" s="9">
        <f t="shared" si="18"/>
        <v>1180</v>
      </c>
      <c r="B1185" s="9" t="s">
        <v>2154</v>
      </c>
      <c r="C1185" s="9" t="s">
        <v>53</v>
      </c>
      <c r="D1185" s="9" t="s">
        <v>2182</v>
      </c>
      <c r="E1185" s="9" t="s">
        <v>2183</v>
      </c>
      <c r="F1185" s="9" t="s">
        <v>2183</v>
      </c>
      <c r="G1185" s="9" t="s">
        <v>650</v>
      </c>
      <c r="H1185" s="9" t="s">
        <v>651</v>
      </c>
      <c r="I1185" s="9" t="s">
        <v>652</v>
      </c>
      <c r="J1185" s="15">
        <v>300000</v>
      </c>
      <c r="K1185" s="15">
        <v>50000</v>
      </c>
    </row>
    <row r="1186" spans="1:11">
      <c r="A1186" s="9">
        <f t="shared" si="18"/>
        <v>1181</v>
      </c>
      <c r="B1186" s="9" t="s">
        <v>2154</v>
      </c>
      <c r="C1186" s="9" t="s">
        <v>53</v>
      </c>
      <c r="D1186" s="9" t="s">
        <v>367</v>
      </c>
      <c r="E1186" s="9" t="s">
        <v>2183</v>
      </c>
      <c r="F1186" s="9" t="s">
        <v>2183</v>
      </c>
      <c r="G1186" s="9" t="s">
        <v>2184</v>
      </c>
      <c r="H1186" s="9" t="s">
        <v>2185</v>
      </c>
      <c r="I1186" s="9" t="s">
        <v>2186</v>
      </c>
      <c r="J1186" s="15">
        <v>418000</v>
      </c>
      <c r="K1186" s="15">
        <v>69666.67</v>
      </c>
    </row>
    <row r="1187" spans="1:11">
      <c r="A1187" s="9">
        <f t="shared" si="18"/>
        <v>1182</v>
      </c>
      <c r="B1187" s="9" t="s">
        <v>2154</v>
      </c>
      <c r="C1187" s="9" t="s">
        <v>53</v>
      </c>
      <c r="D1187" s="9" t="s">
        <v>2187</v>
      </c>
      <c r="E1187" s="9" t="s">
        <v>2188</v>
      </c>
      <c r="F1187" s="9" t="s">
        <v>2188</v>
      </c>
      <c r="G1187" s="9" t="s">
        <v>650</v>
      </c>
      <c r="H1187" s="9" t="s">
        <v>651</v>
      </c>
      <c r="I1187" s="9" t="s">
        <v>652</v>
      </c>
      <c r="J1187" s="15">
        <v>425000</v>
      </c>
      <c r="K1187" s="15">
        <v>70833.33</v>
      </c>
    </row>
    <row r="1188" spans="1:11">
      <c r="A1188" s="9">
        <f t="shared" si="18"/>
        <v>1183</v>
      </c>
      <c r="B1188" s="9" t="s">
        <v>2154</v>
      </c>
      <c r="C1188" s="9" t="s">
        <v>53</v>
      </c>
      <c r="D1188" s="9" t="s">
        <v>2189</v>
      </c>
      <c r="E1188" s="9" t="s">
        <v>2190</v>
      </c>
      <c r="F1188" s="9" t="s">
        <v>2190</v>
      </c>
      <c r="G1188" s="9" t="s">
        <v>650</v>
      </c>
      <c r="H1188" s="9" t="s">
        <v>651</v>
      </c>
      <c r="I1188" s="9" t="s">
        <v>652</v>
      </c>
      <c r="J1188" s="15">
        <v>840000</v>
      </c>
      <c r="K1188" s="15">
        <v>140000</v>
      </c>
    </row>
    <row r="1189" spans="1:11">
      <c r="A1189" s="9">
        <f t="shared" si="18"/>
        <v>1184</v>
      </c>
      <c r="B1189" s="9" t="s">
        <v>2154</v>
      </c>
      <c r="C1189" s="9" t="s">
        <v>53</v>
      </c>
      <c r="D1189" s="9" t="s">
        <v>2191</v>
      </c>
      <c r="E1189" s="9" t="s">
        <v>2192</v>
      </c>
      <c r="F1189" s="9" t="s">
        <v>2192</v>
      </c>
      <c r="G1189" s="9" t="s">
        <v>650</v>
      </c>
      <c r="H1189" s="9" t="s">
        <v>651</v>
      </c>
      <c r="I1189" s="9" t="s">
        <v>652</v>
      </c>
      <c r="J1189" s="15">
        <v>495000</v>
      </c>
      <c r="K1189" s="15">
        <v>82500</v>
      </c>
    </row>
    <row r="1190" spans="1:11">
      <c r="A1190" s="9">
        <f t="shared" si="18"/>
        <v>1185</v>
      </c>
      <c r="B1190" s="9" t="s">
        <v>2154</v>
      </c>
      <c r="C1190" s="9" t="s">
        <v>53</v>
      </c>
      <c r="D1190" s="9" t="s">
        <v>2193</v>
      </c>
      <c r="E1190" s="9" t="s">
        <v>2194</v>
      </c>
      <c r="F1190" s="9" t="s">
        <v>2194</v>
      </c>
      <c r="G1190" s="9" t="s">
        <v>650</v>
      </c>
      <c r="H1190" s="9" t="s">
        <v>651</v>
      </c>
      <c r="I1190" s="9" t="s">
        <v>652</v>
      </c>
      <c r="J1190" s="15">
        <v>1580000</v>
      </c>
      <c r="K1190" s="15">
        <v>263333.33</v>
      </c>
    </row>
    <row r="1191" spans="1:11">
      <c r="A1191" s="9">
        <f t="shared" si="18"/>
        <v>1186</v>
      </c>
      <c r="B1191" s="9" t="s">
        <v>2154</v>
      </c>
      <c r="C1191" s="9" t="s">
        <v>53</v>
      </c>
      <c r="D1191" s="9" t="s">
        <v>2195</v>
      </c>
      <c r="E1191" s="9" t="s">
        <v>2196</v>
      </c>
      <c r="F1191" s="9" t="s">
        <v>2196</v>
      </c>
      <c r="G1191" s="9" t="s">
        <v>650</v>
      </c>
      <c r="H1191" s="9" t="s">
        <v>651</v>
      </c>
      <c r="I1191" s="9" t="s">
        <v>652</v>
      </c>
      <c r="J1191" s="15">
        <v>1720000</v>
      </c>
      <c r="K1191" s="15">
        <v>286666.67</v>
      </c>
    </row>
    <row r="1192" spans="1:11">
      <c r="A1192" s="9">
        <f t="shared" si="18"/>
        <v>1187</v>
      </c>
      <c r="B1192" s="9" t="s">
        <v>2154</v>
      </c>
      <c r="C1192" s="9" t="s">
        <v>53</v>
      </c>
      <c r="D1192" s="9" t="s">
        <v>2197</v>
      </c>
      <c r="E1192" s="9" t="s">
        <v>2198</v>
      </c>
      <c r="F1192" s="9" t="s">
        <v>2198</v>
      </c>
      <c r="G1192" s="9" t="s">
        <v>650</v>
      </c>
      <c r="H1192" s="9" t="s">
        <v>651</v>
      </c>
      <c r="I1192" s="9" t="s">
        <v>652</v>
      </c>
      <c r="J1192" s="15">
        <v>1740000</v>
      </c>
      <c r="K1192" s="15">
        <v>290000</v>
      </c>
    </row>
    <row r="1193" spans="1:11">
      <c r="A1193" s="9">
        <f t="shared" si="18"/>
        <v>1188</v>
      </c>
      <c r="B1193" s="9" t="s">
        <v>2154</v>
      </c>
      <c r="C1193" s="9" t="s">
        <v>53</v>
      </c>
      <c r="D1193" s="9" t="s">
        <v>2199</v>
      </c>
      <c r="E1193" s="9" t="s">
        <v>2200</v>
      </c>
      <c r="F1193" s="9" t="s">
        <v>2200</v>
      </c>
      <c r="G1193" s="9" t="s">
        <v>650</v>
      </c>
      <c r="H1193" s="9" t="s">
        <v>651</v>
      </c>
      <c r="I1193" s="9" t="s">
        <v>652</v>
      </c>
      <c r="J1193" s="15">
        <v>1600000</v>
      </c>
      <c r="K1193" s="15">
        <v>266666.67</v>
      </c>
    </row>
    <row r="1194" spans="1:11">
      <c r="A1194" s="9">
        <f t="shared" si="18"/>
        <v>1189</v>
      </c>
      <c r="B1194" s="9" t="s">
        <v>2154</v>
      </c>
      <c r="C1194" s="9" t="s">
        <v>53</v>
      </c>
      <c r="D1194" s="9" t="s">
        <v>2201</v>
      </c>
      <c r="E1194" s="9" t="s">
        <v>2202</v>
      </c>
      <c r="F1194" s="9" t="s">
        <v>2202</v>
      </c>
      <c r="G1194" s="9" t="s">
        <v>318</v>
      </c>
      <c r="H1194" s="9" t="s">
        <v>864</v>
      </c>
      <c r="I1194" s="9" t="s">
        <v>320</v>
      </c>
      <c r="J1194" s="15">
        <v>13358</v>
      </c>
      <c r="K1194" s="15">
        <v>2063.17</v>
      </c>
    </row>
    <row r="1195" spans="1:11">
      <c r="A1195" s="9">
        <f t="shared" si="18"/>
        <v>1190</v>
      </c>
      <c r="B1195" s="9" t="s">
        <v>2154</v>
      </c>
      <c r="C1195" s="9" t="s">
        <v>53</v>
      </c>
      <c r="D1195" s="9" t="s">
        <v>2203</v>
      </c>
      <c r="E1195" s="9" t="s">
        <v>2204</v>
      </c>
      <c r="F1195" s="9" t="s">
        <v>2204</v>
      </c>
      <c r="G1195" s="9" t="s">
        <v>650</v>
      </c>
      <c r="H1195" s="9" t="s">
        <v>651</v>
      </c>
      <c r="I1195" s="9" t="s">
        <v>652</v>
      </c>
      <c r="J1195" s="15">
        <v>1641780</v>
      </c>
      <c r="K1195" s="15">
        <v>273630</v>
      </c>
    </row>
    <row r="1196" spans="1:11">
      <c r="A1196" s="9">
        <f t="shared" si="18"/>
        <v>1191</v>
      </c>
      <c r="B1196" s="9" t="s">
        <v>2154</v>
      </c>
      <c r="C1196" s="9" t="s">
        <v>53</v>
      </c>
      <c r="D1196" s="9" t="s">
        <v>2205</v>
      </c>
      <c r="E1196" s="9" t="s">
        <v>2206</v>
      </c>
      <c r="F1196" s="9" t="s">
        <v>2206</v>
      </c>
      <c r="G1196" s="9" t="s">
        <v>650</v>
      </c>
      <c r="H1196" s="9" t="s">
        <v>651</v>
      </c>
      <c r="I1196" s="9" t="s">
        <v>652</v>
      </c>
      <c r="J1196" s="15">
        <v>198000</v>
      </c>
      <c r="K1196" s="15">
        <v>33000</v>
      </c>
    </row>
    <row r="1197" spans="1:11">
      <c r="A1197" s="9">
        <f t="shared" si="18"/>
        <v>1192</v>
      </c>
      <c r="B1197" s="9" t="s">
        <v>2154</v>
      </c>
      <c r="C1197" s="9" t="s">
        <v>53</v>
      </c>
      <c r="D1197" s="9" t="s">
        <v>2207</v>
      </c>
      <c r="E1197" s="9" t="s">
        <v>2208</v>
      </c>
      <c r="F1197" s="9" t="s">
        <v>2208</v>
      </c>
      <c r="G1197" s="9" t="s">
        <v>650</v>
      </c>
      <c r="H1197" s="9" t="s">
        <v>651</v>
      </c>
      <c r="I1197" s="9" t="s">
        <v>652</v>
      </c>
      <c r="J1197" s="15">
        <v>396000</v>
      </c>
      <c r="K1197" s="15">
        <v>66000</v>
      </c>
    </row>
    <row r="1198" spans="1:11">
      <c r="A1198" s="9">
        <f t="shared" si="18"/>
        <v>1193</v>
      </c>
      <c r="B1198" s="9" t="s">
        <v>2154</v>
      </c>
      <c r="C1198" s="9" t="s">
        <v>53</v>
      </c>
      <c r="D1198" s="9" t="s">
        <v>2209</v>
      </c>
      <c r="E1198" s="9" t="s">
        <v>2210</v>
      </c>
      <c r="F1198" s="9" t="s">
        <v>2210</v>
      </c>
      <c r="G1198" s="9" t="s">
        <v>650</v>
      </c>
      <c r="H1198" s="9" t="s">
        <v>651</v>
      </c>
      <c r="I1198" s="9" t="s">
        <v>652</v>
      </c>
      <c r="J1198" s="15">
        <v>880000</v>
      </c>
      <c r="K1198" s="15">
        <v>146666.67000000001</v>
      </c>
    </row>
    <row r="1199" spans="1:11">
      <c r="A1199" s="9">
        <f t="shared" si="18"/>
        <v>1194</v>
      </c>
      <c r="B1199" s="9" t="s">
        <v>2154</v>
      </c>
      <c r="C1199" s="9" t="s">
        <v>53</v>
      </c>
      <c r="D1199" s="9" t="s">
        <v>2211</v>
      </c>
      <c r="E1199" s="9" t="s">
        <v>2212</v>
      </c>
      <c r="F1199" s="9" t="s">
        <v>2212</v>
      </c>
      <c r="G1199" s="9" t="s">
        <v>650</v>
      </c>
      <c r="H1199" s="9" t="s">
        <v>651</v>
      </c>
      <c r="I1199" s="9" t="s">
        <v>652</v>
      </c>
      <c r="J1199" s="15">
        <v>800000</v>
      </c>
      <c r="K1199" s="15">
        <v>133333.32999999999</v>
      </c>
    </row>
    <row r="1200" spans="1:11">
      <c r="A1200" s="9">
        <f t="shared" si="18"/>
        <v>1195</v>
      </c>
      <c r="B1200" s="9" t="s">
        <v>2213</v>
      </c>
      <c r="C1200" s="9" t="s">
        <v>71</v>
      </c>
      <c r="D1200" s="9" t="s">
        <v>1791</v>
      </c>
      <c r="E1200" s="9" t="s">
        <v>2214</v>
      </c>
      <c r="F1200" s="9" t="s">
        <v>36</v>
      </c>
      <c r="G1200" s="9" t="s">
        <v>74</v>
      </c>
      <c r="H1200" s="9" t="s">
        <v>75</v>
      </c>
      <c r="I1200" s="9" t="s">
        <v>38</v>
      </c>
      <c r="J1200" s="15">
        <v>408000</v>
      </c>
      <c r="K1200" s="15">
        <v>68000</v>
      </c>
    </row>
    <row r="1201" spans="1:11">
      <c r="A1201" s="9">
        <f t="shared" si="18"/>
        <v>1196</v>
      </c>
      <c r="B1201" s="9" t="s">
        <v>2213</v>
      </c>
      <c r="C1201" s="9" t="s">
        <v>122</v>
      </c>
      <c r="D1201" s="9" t="s">
        <v>2215</v>
      </c>
      <c r="E1201" s="9" t="s">
        <v>2104</v>
      </c>
      <c r="F1201" s="9" t="s">
        <v>2165</v>
      </c>
      <c r="G1201" s="9" t="s">
        <v>74</v>
      </c>
      <c r="H1201" s="9" t="s">
        <v>75</v>
      </c>
      <c r="I1201" s="9" t="s">
        <v>38</v>
      </c>
      <c r="J1201" s="15">
        <v>194250</v>
      </c>
      <c r="K1201" s="15">
        <v>32375</v>
      </c>
    </row>
    <row r="1202" spans="1:11">
      <c r="A1202" s="9">
        <f t="shared" si="18"/>
        <v>1197</v>
      </c>
      <c r="B1202" s="9" t="s">
        <v>2213</v>
      </c>
      <c r="C1202" s="9" t="s">
        <v>71</v>
      </c>
      <c r="D1202" s="9" t="s">
        <v>1679</v>
      </c>
      <c r="E1202" s="9" t="s">
        <v>2106</v>
      </c>
      <c r="F1202" s="9" t="s">
        <v>36</v>
      </c>
      <c r="G1202" s="9" t="s">
        <v>74</v>
      </c>
      <c r="H1202" s="9" t="s">
        <v>75</v>
      </c>
      <c r="I1202" s="9" t="s">
        <v>38</v>
      </c>
      <c r="J1202" s="15">
        <v>525000</v>
      </c>
      <c r="K1202" s="15">
        <v>17500</v>
      </c>
    </row>
    <row r="1203" spans="1:11">
      <c r="A1203" s="9">
        <f t="shared" si="18"/>
        <v>1198</v>
      </c>
      <c r="B1203" s="9" t="s">
        <v>2213</v>
      </c>
      <c r="C1203" s="9" t="s">
        <v>71</v>
      </c>
      <c r="D1203" s="9" t="s">
        <v>1750</v>
      </c>
      <c r="E1203" s="9" t="s">
        <v>2122</v>
      </c>
      <c r="F1203" s="9" t="s">
        <v>36</v>
      </c>
      <c r="G1203" s="9" t="s">
        <v>74</v>
      </c>
      <c r="H1203" s="9" t="s">
        <v>75</v>
      </c>
      <c r="I1203" s="9" t="s">
        <v>38</v>
      </c>
      <c r="J1203" s="15">
        <v>500000</v>
      </c>
      <c r="K1203" s="15">
        <v>5331.17</v>
      </c>
    </row>
    <row r="1204" spans="1:11">
      <c r="A1204" s="9">
        <f t="shared" si="18"/>
        <v>1199</v>
      </c>
      <c r="B1204" s="9" t="s">
        <v>2213</v>
      </c>
      <c r="C1204" s="9" t="s">
        <v>53</v>
      </c>
      <c r="D1204" s="9" t="s">
        <v>2216</v>
      </c>
      <c r="E1204" s="9" t="s">
        <v>2217</v>
      </c>
      <c r="F1204" s="9" t="s">
        <v>2217</v>
      </c>
      <c r="G1204" s="9" t="s">
        <v>650</v>
      </c>
      <c r="H1204" s="9" t="s">
        <v>651</v>
      </c>
      <c r="I1204" s="9" t="s">
        <v>652</v>
      </c>
      <c r="J1204" s="15">
        <v>1248000</v>
      </c>
      <c r="K1204" s="15">
        <v>208000</v>
      </c>
    </row>
    <row r="1205" spans="1:11">
      <c r="A1205" s="9">
        <f t="shared" si="18"/>
        <v>1200</v>
      </c>
      <c r="B1205" s="9" t="s">
        <v>2213</v>
      </c>
      <c r="C1205" s="9" t="s">
        <v>71</v>
      </c>
      <c r="D1205" s="9" t="s">
        <v>1459</v>
      </c>
      <c r="E1205" s="9" t="s">
        <v>2218</v>
      </c>
      <c r="F1205" s="9" t="s">
        <v>36</v>
      </c>
      <c r="G1205" s="9" t="s">
        <v>74</v>
      </c>
      <c r="H1205" s="9" t="s">
        <v>75</v>
      </c>
      <c r="I1205" s="9" t="s">
        <v>38</v>
      </c>
      <c r="J1205" s="15">
        <v>475000</v>
      </c>
      <c r="K1205" s="15">
        <v>79166.67</v>
      </c>
    </row>
    <row r="1206" spans="1:11">
      <c r="J1206" s="17">
        <f>SUM(J6:J1205)</f>
        <v>333486856.76000005</v>
      </c>
      <c r="K1206" s="17">
        <f>SUM(K6:K1205)</f>
        <v>54710637.280000053</v>
      </c>
    </row>
    <row r="1207" spans="1:11">
      <c r="J1207" s="18">
        <f>'общая информация'!V5</f>
        <v>333486856.75999999</v>
      </c>
      <c r="K1207" s="18">
        <f>'общая информация'!V6</f>
        <v>54710637.280000001</v>
      </c>
    </row>
    <row r="1208" spans="1:11">
      <c r="J1208" s="20">
        <f>J1207-J1206</f>
        <v>0</v>
      </c>
      <c r="K1208" s="20">
        <f>K1207-K1206</f>
        <v>0</v>
      </c>
    </row>
  </sheetData>
  <autoFilter ref="A5:L1208" xr:uid="{00000000-0009-0000-0000-000001000000}"/>
  <mergeCells count="5">
    <mergeCell ref="A1:K1"/>
    <mergeCell ref="B2:C2"/>
    <mergeCell ref="B3:C3"/>
    <mergeCell ref="D4:E4"/>
    <mergeCell ref="G4:I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5"/>
  <sheetViews>
    <sheetView zoomScale="80" zoomScaleNormal="80" workbookViewId="0">
      <pane ySplit="5" topLeftCell="A6" activePane="bottomLeft" state="frozen"/>
      <selection pane="bottomLeft" activeCell="B212" sqref="B212"/>
    </sheetView>
  </sheetViews>
  <sheetFormatPr defaultColWidth="8.85546875" defaultRowHeight="15"/>
  <cols>
    <col min="1" max="1" width="16.28515625" style="9" customWidth="1"/>
    <col min="2" max="2" width="11.7109375" style="9" customWidth="1"/>
    <col min="3" max="3" width="12.28515625" style="9" customWidth="1"/>
    <col min="4" max="4" width="16.85546875" style="9" customWidth="1"/>
    <col min="5" max="7" width="18" style="9" customWidth="1"/>
    <col min="8" max="8" width="31" style="9" customWidth="1"/>
    <col min="9" max="9" width="18" style="9" customWidth="1"/>
    <col min="10" max="10" width="27.140625" style="9" customWidth="1"/>
    <col min="11" max="11" width="18" style="9" customWidth="1"/>
    <col min="12" max="16384" width="8.85546875" style="10"/>
  </cols>
  <sheetData>
    <row r="1" spans="1:11" ht="14.45" customHeight="1">
      <c r="A1" s="53" t="s">
        <v>2219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14.45" customHeight="1">
      <c r="A2" s="12" t="s">
        <v>34</v>
      </c>
      <c r="B2" s="54" t="s">
        <v>35</v>
      </c>
      <c r="C2" s="54"/>
      <c r="D2" s="10" t="s">
        <v>36</v>
      </c>
      <c r="E2" s="10" t="s">
        <v>36</v>
      </c>
      <c r="F2" s="9" t="s">
        <v>36</v>
      </c>
      <c r="G2" s="9" t="s">
        <v>36</v>
      </c>
      <c r="H2" s="9" t="s">
        <v>36</v>
      </c>
      <c r="I2" s="9" t="s">
        <v>36</v>
      </c>
      <c r="J2" s="9" t="s">
        <v>36</v>
      </c>
      <c r="K2" s="9" t="s">
        <v>36</v>
      </c>
    </row>
    <row r="3" spans="1:11" ht="14.45" customHeight="1">
      <c r="A3" s="12" t="s">
        <v>37</v>
      </c>
      <c r="B3" s="55" t="s">
        <v>38</v>
      </c>
      <c r="C3" s="55"/>
      <c r="D3" s="10"/>
      <c r="E3" s="10" t="s">
        <v>36</v>
      </c>
      <c r="F3" s="9" t="s">
        <v>36</v>
      </c>
      <c r="G3" s="9" t="s">
        <v>36</v>
      </c>
      <c r="H3" s="9" t="s">
        <v>36</v>
      </c>
      <c r="I3" s="9" t="s">
        <v>36</v>
      </c>
      <c r="J3" s="9" t="s">
        <v>36</v>
      </c>
      <c r="K3" s="9" t="s">
        <v>36</v>
      </c>
    </row>
    <row r="4" spans="1:11" ht="37.9" customHeight="1">
      <c r="A4" s="13" t="s">
        <v>36</v>
      </c>
      <c r="B4" s="13"/>
      <c r="C4" s="13" t="s">
        <v>36</v>
      </c>
      <c r="D4" s="56" t="s">
        <v>39</v>
      </c>
      <c r="E4" s="56" t="s">
        <v>36</v>
      </c>
      <c r="F4" s="56" t="s">
        <v>2220</v>
      </c>
      <c r="G4" s="56" t="s">
        <v>36</v>
      </c>
      <c r="H4" s="56" t="s">
        <v>36</v>
      </c>
      <c r="I4" s="13" t="s">
        <v>36</v>
      </c>
      <c r="J4" s="13" t="s">
        <v>36</v>
      </c>
      <c r="K4" s="13" t="s">
        <v>36</v>
      </c>
    </row>
    <row r="5" spans="1:11" ht="58.15" customHeight="1">
      <c r="A5" s="14" t="s">
        <v>41</v>
      </c>
      <c r="B5" s="14" t="s">
        <v>42</v>
      </c>
      <c r="C5" s="14" t="s">
        <v>43</v>
      </c>
      <c r="D5" s="14" t="s">
        <v>44</v>
      </c>
      <c r="E5" s="14" t="s">
        <v>45</v>
      </c>
      <c r="F5" s="14" t="s">
        <v>47</v>
      </c>
      <c r="G5" s="14" t="s">
        <v>48</v>
      </c>
      <c r="H5" s="14" t="s">
        <v>37</v>
      </c>
      <c r="I5" s="14" t="s">
        <v>2221</v>
      </c>
      <c r="J5" s="14" t="s">
        <v>2222</v>
      </c>
      <c r="K5" s="14" t="s">
        <v>2223</v>
      </c>
    </row>
    <row r="6" spans="1:11">
      <c r="A6" s="9">
        <v>1</v>
      </c>
      <c r="B6" s="9" t="s">
        <v>52</v>
      </c>
      <c r="C6" s="9" t="s">
        <v>53</v>
      </c>
      <c r="D6" s="9" t="s">
        <v>731</v>
      </c>
      <c r="E6" s="9" t="s">
        <v>2224</v>
      </c>
      <c r="F6" s="9" t="s">
        <v>2225</v>
      </c>
      <c r="G6" s="9" t="s">
        <v>2226</v>
      </c>
      <c r="H6" s="9" t="s">
        <v>2227</v>
      </c>
      <c r="I6" s="15">
        <v>6400</v>
      </c>
      <c r="J6" s="15">
        <v>5333.33</v>
      </c>
      <c r="K6" s="15">
        <v>1066.67</v>
      </c>
    </row>
    <row r="7" spans="1:11">
      <c r="A7" s="9">
        <f t="shared" ref="A7:A70" si="0">A6+1</f>
        <v>2</v>
      </c>
      <c r="B7" s="9" t="s">
        <v>52</v>
      </c>
      <c r="C7" s="9" t="s">
        <v>255</v>
      </c>
      <c r="D7" s="9" t="s">
        <v>107</v>
      </c>
      <c r="E7" s="9" t="s">
        <v>108</v>
      </c>
      <c r="F7" s="9" t="s">
        <v>2225</v>
      </c>
      <c r="G7" s="9" t="s">
        <v>2226</v>
      </c>
      <c r="H7" s="9" t="s">
        <v>2227</v>
      </c>
      <c r="I7" s="15">
        <v>6400</v>
      </c>
      <c r="J7" s="15">
        <v>0</v>
      </c>
      <c r="K7" s="15">
        <v>1066.67</v>
      </c>
    </row>
    <row r="8" spans="1:11">
      <c r="A8" s="9">
        <f t="shared" si="0"/>
        <v>3</v>
      </c>
      <c r="B8" s="9" t="s">
        <v>52</v>
      </c>
      <c r="C8" s="9" t="s">
        <v>53</v>
      </c>
      <c r="D8" s="9" t="s">
        <v>683</v>
      </c>
      <c r="E8" s="9" t="s">
        <v>2228</v>
      </c>
      <c r="F8" s="9" t="s">
        <v>2229</v>
      </c>
      <c r="G8" s="9" t="s">
        <v>545</v>
      </c>
      <c r="H8" s="9" t="s">
        <v>2230</v>
      </c>
      <c r="I8" s="15">
        <v>128000</v>
      </c>
      <c r="J8" s="15">
        <v>106666.67</v>
      </c>
      <c r="K8" s="15">
        <v>21333.33</v>
      </c>
    </row>
    <row r="9" spans="1:11">
      <c r="A9" s="9">
        <f t="shared" si="0"/>
        <v>4</v>
      </c>
      <c r="B9" s="9" t="s">
        <v>52</v>
      </c>
      <c r="C9" s="9" t="s">
        <v>53</v>
      </c>
      <c r="D9" s="9" t="s">
        <v>769</v>
      </c>
      <c r="E9" s="9" t="s">
        <v>2231</v>
      </c>
      <c r="F9" s="9" t="s">
        <v>2232</v>
      </c>
      <c r="G9" s="9" t="s">
        <v>2233</v>
      </c>
      <c r="H9" s="9" t="s">
        <v>2234</v>
      </c>
      <c r="I9" s="15">
        <v>57600</v>
      </c>
      <c r="J9" s="15">
        <v>48000</v>
      </c>
      <c r="K9" s="15">
        <v>9600</v>
      </c>
    </row>
    <row r="10" spans="1:11">
      <c r="A10" s="9">
        <f t="shared" si="0"/>
        <v>5</v>
      </c>
      <c r="B10" s="9" t="s">
        <v>52</v>
      </c>
      <c r="C10" s="9" t="s">
        <v>53</v>
      </c>
      <c r="D10" s="9" t="s">
        <v>1375</v>
      </c>
      <c r="E10" s="9" t="s">
        <v>2235</v>
      </c>
      <c r="F10" s="9" t="s">
        <v>2236</v>
      </c>
      <c r="G10" s="9" t="s">
        <v>163</v>
      </c>
      <c r="H10" s="9" t="s">
        <v>2237</v>
      </c>
      <c r="I10" s="15">
        <v>193500</v>
      </c>
      <c r="J10" s="15">
        <v>161250</v>
      </c>
      <c r="K10" s="15">
        <v>32250</v>
      </c>
    </row>
    <row r="11" spans="1:11">
      <c r="A11" s="9">
        <f t="shared" si="0"/>
        <v>6</v>
      </c>
      <c r="B11" s="9" t="s">
        <v>52</v>
      </c>
      <c r="C11" s="9" t="s">
        <v>53</v>
      </c>
      <c r="D11" s="9" t="s">
        <v>354</v>
      </c>
      <c r="E11" s="9" t="s">
        <v>2238</v>
      </c>
      <c r="F11" s="9" t="s">
        <v>2236</v>
      </c>
      <c r="G11" s="9" t="s">
        <v>163</v>
      </c>
      <c r="H11" s="9" t="s">
        <v>2237</v>
      </c>
      <c r="I11" s="15">
        <v>193500</v>
      </c>
      <c r="J11" s="15">
        <v>161250</v>
      </c>
      <c r="K11" s="15">
        <v>32250</v>
      </c>
    </row>
    <row r="12" spans="1:11">
      <c r="A12" s="9">
        <f t="shared" si="0"/>
        <v>7</v>
      </c>
      <c r="B12" s="9" t="s">
        <v>64</v>
      </c>
      <c r="C12" s="9" t="s">
        <v>255</v>
      </c>
      <c r="D12" s="9" t="s">
        <v>72</v>
      </c>
      <c r="E12" s="9" t="s">
        <v>73</v>
      </c>
      <c r="F12" s="9" t="s">
        <v>2239</v>
      </c>
      <c r="G12" s="9" t="s">
        <v>1591</v>
      </c>
      <c r="H12" s="9" t="s">
        <v>2240</v>
      </c>
      <c r="I12" s="15">
        <v>360500</v>
      </c>
      <c r="J12" s="15">
        <v>0</v>
      </c>
      <c r="K12" s="15">
        <v>60083.34</v>
      </c>
    </row>
    <row r="13" spans="1:11">
      <c r="A13" s="9">
        <f t="shared" si="0"/>
        <v>8</v>
      </c>
      <c r="B13" s="9" t="s">
        <v>64</v>
      </c>
      <c r="C13" s="9" t="s">
        <v>53</v>
      </c>
      <c r="D13" s="9" t="s">
        <v>2241</v>
      </c>
      <c r="E13" s="9" t="s">
        <v>2242</v>
      </c>
      <c r="F13" s="9" t="s">
        <v>2239</v>
      </c>
      <c r="G13" s="9" t="s">
        <v>1591</v>
      </c>
      <c r="H13" s="9" t="s">
        <v>2240</v>
      </c>
      <c r="I13" s="15">
        <v>360500</v>
      </c>
      <c r="J13" s="15">
        <v>300416.65999999997</v>
      </c>
      <c r="K13" s="15">
        <v>60083.34</v>
      </c>
    </row>
    <row r="14" spans="1:11">
      <c r="A14" s="9">
        <f t="shared" si="0"/>
        <v>9</v>
      </c>
      <c r="B14" s="9" t="s">
        <v>64</v>
      </c>
      <c r="C14" s="9" t="s">
        <v>255</v>
      </c>
      <c r="D14" s="9" t="s">
        <v>116</v>
      </c>
      <c r="E14" s="9" t="s">
        <v>77</v>
      </c>
      <c r="F14" s="9" t="s">
        <v>2232</v>
      </c>
      <c r="G14" s="9" t="s">
        <v>2233</v>
      </c>
      <c r="H14" s="9" t="s">
        <v>2234</v>
      </c>
      <c r="I14" s="15">
        <v>278000</v>
      </c>
      <c r="J14" s="15">
        <v>0</v>
      </c>
      <c r="K14" s="15">
        <v>46333.33</v>
      </c>
    </row>
    <row r="15" spans="1:11">
      <c r="A15" s="9">
        <f t="shared" si="0"/>
        <v>10</v>
      </c>
      <c r="B15" s="9" t="s">
        <v>64</v>
      </c>
      <c r="C15" s="9" t="s">
        <v>53</v>
      </c>
      <c r="D15" s="9" t="s">
        <v>707</v>
      </c>
      <c r="E15" s="9" t="s">
        <v>2243</v>
      </c>
      <c r="F15" s="9" t="s">
        <v>2236</v>
      </c>
      <c r="G15" s="9" t="s">
        <v>163</v>
      </c>
      <c r="H15" s="9" t="s">
        <v>2237</v>
      </c>
      <c r="I15" s="15">
        <v>211500</v>
      </c>
      <c r="J15" s="15">
        <v>176250</v>
      </c>
      <c r="K15" s="15">
        <v>35250</v>
      </c>
    </row>
    <row r="16" spans="1:11">
      <c r="A16" s="9">
        <f t="shared" si="0"/>
        <v>11</v>
      </c>
      <c r="B16" s="9" t="s">
        <v>64</v>
      </c>
      <c r="C16" s="9" t="s">
        <v>53</v>
      </c>
      <c r="D16" s="9" t="s">
        <v>2244</v>
      </c>
      <c r="E16" s="9" t="s">
        <v>2245</v>
      </c>
      <c r="F16" s="9" t="s">
        <v>2239</v>
      </c>
      <c r="G16" s="9" t="s">
        <v>1591</v>
      </c>
      <c r="H16" s="9" t="s">
        <v>2240</v>
      </c>
      <c r="I16" s="15">
        <v>363500</v>
      </c>
      <c r="J16" s="15">
        <v>302916.67</v>
      </c>
      <c r="K16" s="15">
        <v>60583.33</v>
      </c>
    </row>
    <row r="17" spans="1:11">
      <c r="A17" s="9">
        <f t="shared" si="0"/>
        <v>12</v>
      </c>
      <c r="B17" s="9" t="s">
        <v>64</v>
      </c>
      <c r="C17" s="9" t="s">
        <v>53</v>
      </c>
      <c r="D17" s="9" t="s">
        <v>137</v>
      </c>
      <c r="E17" s="9" t="s">
        <v>2246</v>
      </c>
      <c r="F17" s="9" t="s">
        <v>2232</v>
      </c>
      <c r="G17" s="9" t="s">
        <v>2233</v>
      </c>
      <c r="H17" s="9" t="s">
        <v>2234</v>
      </c>
      <c r="I17" s="15">
        <v>278000</v>
      </c>
      <c r="J17" s="15">
        <v>231666.67</v>
      </c>
      <c r="K17" s="15">
        <v>46333.33</v>
      </c>
    </row>
    <row r="18" spans="1:11">
      <c r="A18" s="9">
        <f t="shared" si="0"/>
        <v>13</v>
      </c>
      <c r="B18" s="9" t="s">
        <v>64</v>
      </c>
      <c r="C18" s="9" t="s">
        <v>53</v>
      </c>
      <c r="D18" s="9" t="s">
        <v>177</v>
      </c>
      <c r="E18" s="9" t="s">
        <v>142</v>
      </c>
      <c r="F18" s="9" t="s">
        <v>2239</v>
      </c>
      <c r="G18" s="9" t="s">
        <v>1591</v>
      </c>
      <c r="H18" s="9" t="s">
        <v>2240</v>
      </c>
      <c r="I18" s="15">
        <v>317250</v>
      </c>
      <c r="J18" s="15">
        <v>264375</v>
      </c>
      <c r="K18" s="15">
        <v>52875</v>
      </c>
    </row>
    <row r="19" spans="1:11">
      <c r="A19" s="9">
        <f t="shared" si="0"/>
        <v>14</v>
      </c>
      <c r="B19" s="9" t="s">
        <v>64</v>
      </c>
      <c r="C19" s="9" t="s">
        <v>53</v>
      </c>
      <c r="D19" s="9" t="s">
        <v>1195</v>
      </c>
      <c r="E19" s="9" t="s">
        <v>2247</v>
      </c>
      <c r="F19" s="9" t="s">
        <v>2239</v>
      </c>
      <c r="G19" s="9" t="s">
        <v>1591</v>
      </c>
      <c r="H19" s="9" t="s">
        <v>2240</v>
      </c>
      <c r="I19" s="15">
        <v>282300</v>
      </c>
      <c r="J19" s="15">
        <v>235250</v>
      </c>
      <c r="K19" s="15">
        <v>47050</v>
      </c>
    </row>
    <row r="20" spans="1:11">
      <c r="A20" s="9">
        <f t="shared" si="0"/>
        <v>15</v>
      </c>
      <c r="B20" s="9" t="s">
        <v>64</v>
      </c>
      <c r="C20" s="9" t="s">
        <v>53</v>
      </c>
      <c r="D20" s="9" t="s">
        <v>1202</v>
      </c>
      <c r="E20" s="9" t="s">
        <v>2248</v>
      </c>
      <c r="F20" s="9" t="s">
        <v>2239</v>
      </c>
      <c r="G20" s="9" t="s">
        <v>1591</v>
      </c>
      <c r="H20" s="9" t="s">
        <v>2240</v>
      </c>
      <c r="I20" s="15">
        <v>128310</v>
      </c>
      <c r="J20" s="15">
        <v>106925</v>
      </c>
      <c r="K20" s="15">
        <v>21385</v>
      </c>
    </row>
    <row r="21" spans="1:11">
      <c r="A21" s="9">
        <f t="shared" si="0"/>
        <v>16</v>
      </c>
      <c r="B21" s="9" t="s">
        <v>155</v>
      </c>
      <c r="C21" s="9" t="s">
        <v>255</v>
      </c>
      <c r="D21" s="9" t="s">
        <v>198</v>
      </c>
      <c r="E21" s="9" t="s">
        <v>166</v>
      </c>
      <c r="F21" s="9" t="s">
        <v>2239</v>
      </c>
      <c r="G21" s="9" t="s">
        <v>1591</v>
      </c>
      <c r="H21" s="9" t="s">
        <v>2240</v>
      </c>
      <c r="I21" s="15">
        <v>656000</v>
      </c>
      <c r="J21" s="15">
        <v>0</v>
      </c>
      <c r="K21" s="15">
        <v>109333.33</v>
      </c>
    </row>
    <row r="22" spans="1:11">
      <c r="A22" s="9">
        <f t="shared" si="0"/>
        <v>17</v>
      </c>
      <c r="B22" s="9" t="s">
        <v>155</v>
      </c>
      <c r="C22" s="9" t="s">
        <v>53</v>
      </c>
      <c r="D22" s="9" t="s">
        <v>815</v>
      </c>
      <c r="E22" s="9" t="s">
        <v>2249</v>
      </c>
      <c r="F22" s="9" t="s">
        <v>2239</v>
      </c>
      <c r="G22" s="9" t="s">
        <v>1591</v>
      </c>
      <c r="H22" s="9" t="s">
        <v>2240</v>
      </c>
      <c r="I22" s="15">
        <v>272650</v>
      </c>
      <c r="J22" s="15">
        <v>227208.33</v>
      </c>
      <c r="K22" s="15">
        <v>45441.67</v>
      </c>
    </row>
    <row r="23" spans="1:11">
      <c r="A23" s="9">
        <f t="shared" si="0"/>
        <v>18</v>
      </c>
      <c r="B23" s="9" t="s">
        <v>155</v>
      </c>
      <c r="C23" s="9" t="s">
        <v>53</v>
      </c>
      <c r="D23" s="9" t="s">
        <v>122</v>
      </c>
      <c r="E23" s="9" t="s">
        <v>183</v>
      </c>
      <c r="F23" s="9" t="s">
        <v>895</v>
      </c>
      <c r="G23" s="9" t="s">
        <v>896</v>
      </c>
      <c r="H23" s="9" t="s">
        <v>897</v>
      </c>
      <c r="I23" s="15">
        <v>379305</v>
      </c>
      <c r="J23" s="15">
        <v>316087.5</v>
      </c>
      <c r="K23" s="15">
        <v>63217.5</v>
      </c>
    </row>
    <row r="24" spans="1:11">
      <c r="A24" s="9">
        <f t="shared" si="0"/>
        <v>19</v>
      </c>
      <c r="B24" s="9" t="s">
        <v>155</v>
      </c>
      <c r="C24" s="9" t="s">
        <v>255</v>
      </c>
      <c r="D24" s="9" t="s">
        <v>203</v>
      </c>
      <c r="E24" s="9" t="s">
        <v>204</v>
      </c>
      <c r="F24" s="9" t="s">
        <v>2250</v>
      </c>
      <c r="G24" s="9" t="s">
        <v>2251</v>
      </c>
      <c r="H24" s="9" t="s">
        <v>2252</v>
      </c>
      <c r="I24" s="15">
        <v>31400</v>
      </c>
      <c r="J24" s="15">
        <v>0</v>
      </c>
      <c r="K24" s="15">
        <v>5233.34</v>
      </c>
    </row>
    <row r="25" spans="1:11">
      <c r="A25" s="9">
        <f t="shared" si="0"/>
        <v>20</v>
      </c>
      <c r="B25" s="9" t="s">
        <v>155</v>
      </c>
      <c r="C25" s="9" t="s">
        <v>53</v>
      </c>
      <c r="D25" s="9" t="s">
        <v>1248</v>
      </c>
      <c r="E25" s="9" t="s">
        <v>2253</v>
      </c>
      <c r="F25" s="9" t="s">
        <v>2239</v>
      </c>
      <c r="G25" s="9" t="s">
        <v>1591</v>
      </c>
      <c r="H25" s="9" t="s">
        <v>2240</v>
      </c>
      <c r="I25" s="15">
        <v>383350</v>
      </c>
      <c r="J25" s="15">
        <v>319458.33</v>
      </c>
      <c r="K25" s="15">
        <v>63891.67</v>
      </c>
    </row>
    <row r="26" spans="1:11">
      <c r="A26" s="9">
        <f t="shared" si="0"/>
        <v>21</v>
      </c>
      <c r="B26" s="9" t="s">
        <v>155</v>
      </c>
      <c r="C26" s="9" t="s">
        <v>53</v>
      </c>
      <c r="D26" s="9" t="s">
        <v>820</v>
      </c>
      <c r="E26" s="9" t="s">
        <v>211</v>
      </c>
      <c r="F26" s="9" t="s">
        <v>2254</v>
      </c>
      <c r="G26" s="9" t="s">
        <v>2255</v>
      </c>
      <c r="H26" s="9" t="s">
        <v>2256</v>
      </c>
      <c r="I26" s="15">
        <v>424316</v>
      </c>
      <c r="J26" s="15">
        <v>353596.67</v>
      </c>
      <c r="K26" s="15">
        <v>70719.33</v>
      </c>
    </row>
    <row r="27" spans="1:11">
      <c r="A27" s="9">
        <f t="shared" si="0"/>
        <v>22</v>
      </c>
      <c r="B27" s="9" t="s">
        <v>155</v>
      </c>
      <c r="C27" s="9" t="s">
        <v>255</v>
      </c>
      <c r="D27" s="9" t="s">
        <v>210</v>
      </c>
      <c r="E27" s="9" t="s">
        <v>211</v>
      </c>
      <c r="F27" s="9" t="s">
        <v>2257</v>
      </c>
      <c r="G27" s="9" t="s">
        <v>1591</v>
      </c>
      <c r="H27" s="9" t="s">
        <v>2258</v>
      </c>
      <c r="I27" s="15">
        <v>80000</v>
      </c>
      <c r="J27" s="15">
        <v>0</v>
      </c>
      <c r="K27" s="15">
        <v>13333.33</v>
      </c>
    </row>
    <row r="28" spans="1:11">
      <c r="A28" s="9">
        <f t="shared" si="0"/>
        <v>23</v>
      </c>
      <c r="B28" s="9" t="s">
        <v>155</v>
      </c>
      <c r="C28" s="9" t="s">
        <v>53</v>
      </c>
      <c r="D28" s="9" t="s">
        <v>182</v>
      </c>
      <c r="E28" s="9" t="s">
        <v>2259</v>
      </c>
      <c r="F28" s="9" t="s">
        <v>2250</v>
      </c>
      <c r="G28" s="9" t="s">
        <v>2251</v>
      </c>
      <c r="H28" s="9" t="s">
        <v>2252</v>
      </c>
      <c r="I28" s="15">
        <v>31400</v>
      </c>
      <c r="J28" s="15">
        <v>26166.66</v>
      </c>
      <c r="K28" s="15">
        <v>5233.34</v>
      </c>
    </row>
    <row r="29" spans="1:11">
      <c r="A29" s="9">
        <f t="shared" si="0"/>
        <v>24</v>
      </c>
      <c r="B29" s="9" t="s">
        <v>155</v>
      </c>
      <c r="C29" s="9" t="s">
        <v>255</v>
      </c>
      <c r="D29" s="9" t="s">
        <v>212</v>
      </c>
      <c r="E29" s="9" t="s">
        <v>213</v>
      </c>
      <c r="F29" s="9" t="s">
        <v>2257</v>
      </c>
      <c r="G29" s="9" t="s">
        <v>1591</v>
      </c>
      <c r="H29" s="9" t="s">
        <v>2258</v>
      </c>
      <c r="I29" s="15">
        <v>160000</v>
      </c>
      <c r="J29" s="15">
        <v>0</v>
      </c>
      <c r="K29" s="15">
        <v>26666.67</v>
      </c>
    </row>
    <row r="30" spans="1:11">
      <c r="A30" s="9">
        <f t="shared" si="0"/>
        <v>25</v>
      </c>
      <c r="B30" s="9" t="s">
        <v>155</v>
      </c>
      <c r="C30" s="9" t="s">
        <v>255</v>
      </c>
      <c r="D30" s="9" t="s">
        <v>224</v>
      </c>
      <c r="E30" s="9" t="s">
        <v>225</v>
      </c>
      <c r="F30" s="9" t="s">
        <v>2257</v>
      </c>
      <c r="G30" s="9" t="s">
        <v>1591</v>
      </c>
      <c r="H30" s="9" t="s">
        <v>2258</v>
      </c>
      <c r="I30" s="15">
        <v>160000</v>
      </c>
      <c r="J30" s="15">
        <v>0</v>
      </c>
      <c r="K30" s="15">
        <v>26666.67</v>
      </c>
    </row>
    <row r="31" spans="1:11">
      <c r="A31" s="9">
        <f t="shared" si="0"/>
        <v>26</v>
      </c>
      <c r="B31" s="9" t="s">
        <v>202</v>
      </c>
      <c r="C31" s="9" t="s">
        <v>53</v>
      </c>
      <c r="D31" s="9" t="s">
        <v>214</v>
      </c>
      <c r="E31" s="9" t="s">
        <v>2260</v>
      </c>
      <c r="F31" s="9" t="s">
        <v>2257</v>
      </c>
      <c r="G31" s="9" t="s">
        <v>1591</v>
      </c>
      <c r="H31" s="9" t="s">
        <v>2258</v>
      </c>
      <c r="I31" s="15">
        <v>324000</v>
      </c>
      <c r="J31" s="15">
        <v>270000</v>
      </c>
      <c r="K31" s="15">
        <v>54000</v>
      </c>
    </row>
    <row r="32" spans="1:11">
      <c r="A32" s="9">
        <f t="shared" si="0"/>
        <v>27</v>
      </c>
      <c r="B32" s="9" t="s">
        <v>202</v>
      </c>
      <c r="C32" s="9" t="s">
        <v>255</v>
      </c>
      <c r="D32" s="9" t="s">
        <v>107</v>
      </c>
      <c r="E32" s="9" t="s">
        <v>226</v>
      </c>
      <c r="F32" s="9" t="s">
        <v>2257</v>
      </c>
      <c r="G32" s="9" t="s">
        <v>1591</v>
      </c>
      <c r="H32" s="9" t="s">
        <v>2258</v>
      </c>
      <c r="I32" s="15">
        <v>324000</v>
      </c>
      <c r="J32" s="15">
        <v>0</v>
      </c>
      <c r="K32" s="15">
        <v>54000</v>
      </c>
    </row>
    <row r="33" spans="1:11">
      <c r="A33" s="9">
        <f t="shared" si="0"/>
        <v>28</v>
      </c>
      <c r="B33" s="9" t="s">
        <v>202</v>
      </c>
      <c r="C33" s="9" t="s">
        <v>53</v>
      </c>
      <c r="D33" s="9" t="s">
        <v>646</v>
      </c>
      <c r="E33" s="9" t="s">
        <v>2261</v>
      </c>
      <c r="F33" s="9" t="s">
        <v>2257</v>
      </c>
      <c r="G33" s="9" t="s">
        <v>1591</v>
      </c>
      <c r="H33" s="9" t="s">
        <v>2258</v>
      </c>
      <c r="I33" s="15">
        <v>17388</v>
      </c>
      <c r="J33" s="15">
        <v>14490</v>
      </c>
      <c r="K33" s="15">
        <v>2898</v>
      </c>
    </row>
    <row r="34" spans="1:11">
      <c r="A34" s="9">
        <f t="shared" si="0"/>
        <v>29</v>
      </c>
      <c r="B34" s="9" t="s">
        <v>202</v>
      </c>
      <c r="C34" s="9" t="s">
        <v>53</v>
      </c>
      <c r="D34" s="9" t="s">
        <v>731</v>
      </c>
      <c r="E34" s="9" t="s">
        <v>2262</v>
      </c>
      <c r="F34" s="9" t="s">
        <v>2257</v>
      </c>
      <c r="G34" s="9" t="s">
        <v>1591</v>
      </c>
      <c r="H34" s="9" t="s">
        <v>2258</v>
      </c>
      <c r="I34" s="15">
        <v>400000</v>
      </c>
      <c r="J34" s="15">
        <v>333333.33</v>
      </c>
      <c r="K34" s="15">
        <v>66666.67</v>
      </c>
    </row>
    <row r="35" spans="1:11">
      <c r="A35" s="9">
        <f t="shared" si="0"/>
        <v>30</v>
      </c>
      <c r="B35" s="9" t="s">
        <v>202</v>
      </c>
      <c r="C35" s="9" t="s">
        <v>255</v>
      </c>
      <c r="D35" s="9" t="s">
        <v>72</v>
      </c>
      <c r="E35" s="9" t="s">
        <v>243</v>
      </c>
      <c r="F35" s="9" t="s">
        <v>2257</v>
      </c>
      <c r="G35" s="9" t="s">
        <v>1591</v>
      </c>
      <c r="H35" s="9" t="s">
        <v>2258</v>
      </c>
      <c r="I35" s="15">
        <v>350000</v>
      </c>
      <c r="J35" s="15">
        <v>0</v>
      </c>
      <c r="K35" s="15">
        <v>58333.33</v>
      </c>
    </row>
    <row r="36" spans="1:11">
      <c r="A36" s="9">
        <f t="shared" si="0"/>
        <v>31</v>
      </c>
      <c r="B36" s="9" t="s">
        <v>202</v>
      </c>
      <c r="C36" s="9" t="s">
        <v>255</v>
      </c>
      <c r="D36" s="9" t="s">
        <v>116</v>
      </c>
      <c r="E36" s="9" t="s">
        <v>235</v>
      </c>
      <c r="F36" s="9" t="s">
        <v>2263</v>
      </c>
      <c r="G36" s="9" t="s">
        <v>36</v>
      </c>
      <c r="H36" s="9" t="s">
        <v>2264</v>
      </c>
      <c r="I36" s="15">
        <v>81000</v>
      </c>
      <c r="J36" s="15">
        <v>0</v>
      </c>
      <c r="K36" s="15">
        <v>13500</v>
      </c>
    </row>
    <row r="37" spans="1:11">
      <c r="A37" s="9">
        <f t="shared" si="0"/>
        <v>32</v>
      </c>
      <c r="B37" s="9" t="s">
        <v>202</v>
      </c>
      <c r="C37" s="9" t="s">
        <v>53</v>
      </c>
      <c r="D37" s="9" t="s">
        <v>735</v>
      </c>
      <c r="E37" s="9" t="s">
        <v>2265</v>
      </c>
      <c r="F37" s="9" t="s">
        <v>2263</v>
      </c>
      <c r="G37" s="9" t="s">
        <v>36</v>
      </c>
      <c r="H37" s="9" t="s">
        <v>2264</v>
      </c>
      <c r="I37" s="15">
        <v>449145</v>
      </c>
      <c r="J37" s="15">
        <v>374287.5</v>
      </c>
      <c r="K37" s="15">
        <v>74857.5</v>
      </c>
    </row>
    <row r="38" spans="1:11">
      <c r="A38" s="9">
        <f t="shared" si="0"/>
        <v>33</v>
      </c>
      <c r="B38" s="9" t="s">
        <v>202</v>
      </c>
      <c r="C38" s="9" t="s">
        <v>53</v>
      </c>
      <c r="D38" s="9" t="s">
        <v>1375</v>
      </c>
      <c r="E38" s="9" t="s">
        <v>2266</v>
      </c>
      <c r="F38" s="9" t="s">
        <v>2267</v>
      </c>
      <c r="G38" s="9" t="s">
        <v>2268</v>
      </c>
      <c r="H38" s="9" t="s">
        <v>2269</v>
      </c>
      <c r="I38" s="15">
        <v>206631</v>
      </c>
      <c r="J38" s="15">
        <v>172192.5</v>
      </c>
      <c r="K38" s="15">
        <v>34438.5</v>
      </c>
    </row>
    <row r="39" spans="1:11">
      <c r="A39" s="9">
        <f t="shared" si="0"/>
        <v>34</v>
      </c>
      <c r="B39" s="9" t="s">
        <v>202</v>
      </c>
      <c r="C39" s="9" t="s">
        <v>255</v>
      </c>
      <c r="D39" s="9" t="s">
        <v>198</v>
      </c>
      <c r="E39" s="9" t="s">
        <v>244</v>
      </c>
      <c r="F39" s="9" t="s">
        <v>650</v>
      </c>
      <c r="G39" s="9" t="s">
        <v>651</v>
      </c>
      <c r="H39" s="9" t="s">
        <v>652</v>
      </c>
      <c r="I39" s="15">
        <v>81000</v>
      </c>
      <c r="J39" s="15">
        <v>0</v>
      </c>
      <c r="K39" s="15">
        <v>13500</v>
      </c>
    </row>
    <row r="40" spans="1:11">
      <c r="A40" s="9">
        <f t="shared" si="0"/>
        <v>35</v>
      </c>
      <c r="B40" s="9" t="s">
        <v>202</v>
      </c>
      <c r="C40" s="9" t="s">
        <v>53</v>
      </c>
      <c r="D40" s="9" t="s">
        <v>683</v>
      </c>
      <c r="E40" s="9" t="s">
        <v>2270</v>
      </c>
      <c r="F40" s="9" t="s">
        <v>2257</v>
      </c>
      <c r="G40" s="9" t="s">
        <v>1591</v>
      </c>
      <c r="H40" s="9" t="s">
        <v>2258</v>
      </c>
      <c r="I40" s="15">
        <v>101007</v>
      </c>
      <c r="J40" s="15">
        <v>84172.5</v>
      </c>
      <c r="K40" s="15">
        <v>16834.5</v>
      </c>
    </row>
    <row r="41" spans="1:11">
      <c r="A41" s="9">
        <f t="shared" si="0"/>
        <v>36</v>
      </c>
      <c r="B41" s="9" t="s">
        <v>202</v>
      </c>
      <c r="C41" s="9" t="s">
        <v>53</v>
      </c>
      <c r="D41" s="9" t="s">
        <v>769</v>
      </c>
      <c r="E41" s="9" t="s">
        <v>2270</v>
      </c>
      <c r="F41" s="9" t="s">
        <v>2257</v>
      </c>
      <c r="G41" s="9" t="s">
        <v>1591</v>
      </c>
      <c r="H41" s="9" t="s">
        <v>2258</v>
      </c>
      <c r="I41" s="15">
        <v>39528</v>
      </c>
      <c r="J41" s="15">
        <v>32940</v>
      </c>
      <c r="K41" s="15">
        <v>6588</v>
      </c>
    </row>
    <row r="42" spans="1:11">
      <c r="A42" s="9">
        <f t="shared" si="0"/>
        <v>37</v>
      </c>
      <c r="B42" s="9" t="s">
        <v>202</v>
      </c>
      <c r="C42" s="9" t="s">
        <v>255</v>
      </c>
      <c r="D42" s="9" t="s">
        <v>203</v>
      </c>
      <c r="E42" s="9" t="s">
        <v>249</v>
      </c>
      <c r="F42" s="9" t="s">
        <v>650</v>
      </c>
      <c r="G42" s="9" t="s">
        <v>651</v>
      </c>
      <c r="H42" s="9" t="s">
        <v>652</v>
      </c>
      <c r="I42" s="15">
        <v>73062</v>
      </c>
      <c r="J42" s="15">
        <v>0</v>
      </c>
      <c r="K42" s="15">
        <v>12177</v>
      </c>
    </row>
    <row r="43" spans="1:11">
      <c r="A43" s="9">
        <f t="shared" si="0"/>
        <v>38</v>
      </c>
      <c r="B43" s="9" t="s">
        <v>202</v>
      </c>
      <c r="C43" s="9" t="s">
        <v>53</v>
      </c>
      <c r="D43" s="9" t="s">
        <v>236</v>
      </c>
      <c r="E43" s="9" t="s">
        <v>2271</v>
      </c>
      <c r="F43" s="9" t="s">
        <v>650</v>
      </c>
      <c r="G43" s="9" t="s">
        <v>651</v>
      </c>
      <c r="H43" s="9" t="s">
        <v>652</v>
      </c>
      <c r="I43" s="15">
        <v>250938</v>
      </c>
      <c r="J43" s="15">
        <v>209115</v>
      </c>
      <c r="K43" s="15">
        <v>41823</v>
      </c>
    </row>
    <row r="44" spans="1:11">
      <c r="A44" s="9">
        <f t="shared" si="0"/>
        <v>39</v>
      </c>
      <c r="B44" s="9" t="s">
        <v>202</v>
      </c>
      <c r="C44" s="9" t="s">
        <v>255</v>
      </c>
      <c r="D44" s="9" t="s">
        <v>210</v>
      </c>
      <c r="E44" s="9" t="s">
        <v>250</v>
      </c>
      <c r="F44" s="9" t="s">
        <v>2267</v>
      </c>
      <c r="G44" s="9" t="s">
        <v>2268</v>
      </c>
      <c r="H44" s="9" t="s">
        <v>2269</v>
      </c>
      <c r="I44" s="15">
        <v>82000</v>
      </c>
      <c r="J44" s="15">
        <v>0</v>
      </c>
      <c r="K44" s="15">
        <v>13666.67</v>
      </c>
    </row>
    <row r="45" spans="1:11">
      <c r="A45" s="9">
        <f t="shared" si="0"/>
        <v>40</v>
      </c>
      <c r="B45" s="9" t="s">
        <v>202</v>
      </c>
      <c r="C45" s="9" t="s">
        <v>53</v>
      </c>
      <c r="D45" s="9" t="s">
        <v>354</v>
      </c>
      <c r="E45" s="9" t="s">
        <v>2272</v>
      </c>
      <c r="F45" s="9" t="s">
        <v>2267</v>
      </c>
      <c r="G45" s="9" t="s">
        <v>2268</v>
      </c>
      <c r="H45" s="9" t="s">
        <v>2269</v>
      </c>
      <c r="I45" s="15">
        <v>229518</v>
      </c>
      <c r="J45" s="15">
        <v>191265</v>
      </c>
      <c r="K45" s="15">
        <v>38253</v>
      </c>
    </row>
    <row r="46" spans="1:11">
      <c r="A46" s="9">
        <f t="shared" si="0"/>
        <v>41</v>
      </c>
      <c r="B46" s="9" t="s">
        <v>202</v>
      </c>
      <c r="C46" s="9" t="s">
        <v>53</v>
      </c>
      <c r="D46" s="9" t="s">
        <v>2241</v>
      </c>
      <c r="E46" s="9" t="s">
        <v>2273</v>
      </c>
      <c r="F46" s="9" t="s">
        <v>2257</v>
      </c>
      <c r="G46" s="9" t="s">
        <v>1591</v>
      </c>
      <c r="H46" s="9" t="s">
        <v>2258</v>
      </c>
      <c r="I46" s="15">
        <v>423864</v>
      </c>
      <c r="J46" s="15">
        <v>353220</v>
      </c>
      <c r="K46" s="15">
        <v>70644</v>
      </c>
    </row>
    <row r="47" spans="1:11">
      <c r="A47" s="9">
        <f t="shared" si="0"/>
        <v>42</v>
      </c>
      <c r="B47" s="9" t="s">
        <v>276</v>
      </c>
      <c r="C47" s="9" t="s">
        <v>53</v>
      </c>
      <c r="D47" s="9" t="s">
        <v>707</v>
      </c>
      <c r="E47" s="9" t="s">
        <v>2274</v>
      </c>
      <c r="F47" s="9" t="s">
        <v>2267</v>
      </c>
      <c r="G47" s="9" t="s">
        <v>2268</v>
      </c>
      <c r="H47" s="9" t="s">
        <v>2269</v>
      </c>
      <c r="I47" s="15">
        <v>129000</v>
      </c>
      <c r="J47" s="15">
        <v>107500</v>
      </c>
      <c r="K47" s="15">
        <v>21500</v>
      </c>
    </row>
    <row r="48" spans="1:11">
      <c r="A48" s="9">
        <f t="shared" si="0"/>
        <v>43</v>
      </c>
      <c r="B48" s="9" t="s">
        <v>276</v>
      </c>
      <c r="C48" s="9" t="s">
        <v>53</v>
      </c>
      <c r="D48" s="9" t="s">
        <v>2244</v>
      </c>
      <c r="E48" s="9" t="s">
        <v>2275</v>
      </c>
      <c r="F48" s="9" t="s">
        <v>2276</v>
      </c>
      <c r="G48" s="9" t="s">
        <v>2277</v>
      </c>
      <c r="H48" s="9" t="s">
        <v>2278</v>
      </c>
      <c r="I48" s="15">
        <v>128425</v>
      </c>
      <c r="J48" s="15">
        <v>107020.83</v>
      </c>
      <c r="K48" s="15">
        <v>21404.17</v>
      </c>
    </row>
    <row r="49" spans="1:11">
      <c r="A49" s="9">
        <f t="shared" si="0"/>
        <v>44</v>
      </c>
      <c r="B49" s="9" t="s">
        <v>276</v>
      </c>
      <c r="C49" s="9" t="s">
        <v>53</v>
      </c>
      <c r="D49" s="9" t="s">
        <v>137</v>
      </c>
      <c r="E49" s="9" t="s">
        <v>2275</v>
      </c>
      <c r="F49" s="9" t="s">
        <v>2276</v>
      </c>
      <c r="G49" s="9" t="s">
        <v>2277</v>
      </c>
      <c r="H49" s="9" t="s">
        <v>2278</v>
      </c>
      <c r="I49" s="15">
        <v>90825</v>
      </c>
      <c r="J49" s="15">
        <v>75687.5</v>
      </c>
      <c r="K49" s="15">
        <v>15137.5</v>
      </c>
    </row>
    <row r="50" spans="1:11">
      <c r="A50" s="9">
        <f t="shared" si="0"/>
        <v>45</v>
      </c>
      <c r="B50" s="9" t="s">
        <v>276</v>
      </c>
      <c r="C50" s="9" t="s">
        <v>53</v>
      </c>
      <c r="D50" s="9" t="s">
        <v>177</v>
      </c>
      <c r="E50" s="9" t="s">
        <v>2275</v>
      </c>
      <c r="F50" s="9" t="s">
        <v>2276</v>
      </c>
      <c r="G50" s="9" t="s">
        <v>2277</v>
      </c>
      <c r="H50" s="9" t="s">
        <v>2278</v>
      </c>
      <c r="I50" s="15">
        <v>221625</v>
      </c>
      <c r="J50" s="15">
        <v>184687.5</v>
      </c>
      <c r="K50" s="15">
        <v>36937.5</v>
      </c>
    </row>
    <row r="51" spans="1:11">
      <c r="A51" s="9">
        <f t="shared" si="0"/>
        <v>46</v>
      </c>
      <c r="B51" s="9" t="s">
        <v>276</v>
      </c>
      <c r="C51" s="9" t="s">
        <v>53</v>
      </c>
      <c r="D51" s="9" t="s">
        <v>260</v>
      </c>
      <c r="E51" s="9" t="s">
        <v>2279</v>
      </c>
      <c r="F51" s="9" t="s">
        <v>2280</v>
      </c>
      <c r="G51" s="9" t="s">
        <v>2281</v>
      </c>
      <c r="H51" s="9" t="s">
        <v>2282</v>
      </c>
      <c r="I51" s="15">
        <v>87000</v>
      </c>
      <c r="J51" s="15">
        <v>72500</v>
      </c>
      <c r="K51" s="15">
        <v>14500</v>
      </c>
    </row>
    <row r="52" spans="1:11">
      <c r="A52" s="9">
        <f t="shared" si="0"/>
        <v>47</v>
      </c>
      <c r="B52" s="9" t="s">
        <v>276</v>
      </c>
      <c r="C52" s="9" t="s">
        <v>53</v>
      </c>
      <c r="D52" s="9" t="s">
        <v>661</v>
      </c>
      <c r="E52" s="9" t="s">
        <v>2283</v>
      </c>
      <c r="F52" s="9" t="s">
        <v>2280</v>
      </c>
      <c r="G52" s="9" t="s">
        <v>2281</v>
      </c>
      <c r="H52" s="9" t="s">
        <v>2282</v>
      </c>
      <c r="I52" s="15">
        <v>365220</v>
      </c>
      <c r="J52" s="15">
        <v>304350</v>
      </c>
      <c r="K52" s="15">
        <v>60870</v>
      </c>
    </row>
    <row r="53" spans="1:11">
      <c r="A53" s="9">
        <f t="shared" si="0"/>
        <v>48</v>
      </c>
      <c r="B53" s="9" t="s">
        <v>276</v>
      </c>
      <c r="C53" s="9" t="s">
        <v>53</v>
      </c>
      <c r="D53" s="9" t="s">
        <v>1195</v>
      </c>
      <c r="E53" s="9" t="s">
        <v>297</v>
      </c>
      <c r="F53" s="9" t="s">
        <v>2267</v>
      </c>
      <c r="G53" s="9" t="s">
        <v>2268</v>
      </c>
      <c r="H53" s="9" t="s">
        <v>2269</v>
      </c>
      <c r="I53" s="15">
        <v>192192</v>
      </c>
      <c r="J53" s="15">
        <v>160160</v>
      </c>
      <c r="K53" s="15">
        <v>32032</v>
      </c>
    </row>
    <row r="54" spans="1:11">
      <c r="A54" s="9">
        <f t="shared" si="0"/>
        <v>49</v>
      </c>
      <c r="B54" s="9" t="s">
        <v>276</v>
      </c>
      <c r="C54" s="9" t="s">
        <v>53</v>
      </c>
      <c r="D54" s="9" t="s">
        <v>1202</v>
      </c>
      <c r="E54" s="9" t="s">
        <v>297</v>
      </c>
      <c r="F54" s="9" t="s">
        <v>2267</v>
      </c>
      <c r="G54" s="9" t="s">
        <v>2268</v>
      </c>
      <c r="H54" s="9" t="s">
        <v>2269</v>
      </c>
      <c r="I54" s="15">
        <v>249400</v>
      </c>
      <c r="J54" s="15">
        <v>207833.33</v>
      </c>
      <c r="K54" s="15">
        <v>41566.67</v>
      </c>
    </row>
    <row r="55" spans="1:11">
      <c r="A55" s="9">
        <f t="shared" si="0"/>
        <v>50</v>
      </c>
      <c r="B55" s="9" t="s">
        <v>276</v>
      </c>
      <c r="C55" s="9" t="s">
        <v>53</v>
      </c>
      <c r="D55" s="9" t="s">
        <v>182</v>
      </c>
      <c r="E55" s="9" t="s">
        <v>312</v>
      </c>
      <c r="F55" s="9" t="s">
        <v>2267</v>
      </c>
      <c r="G55" s="9" t="s">
        <v>2268</v>
      </c>
      <c r="H55" s="9" t="s">
        <v>2269</v>
      </c>
      <c r="I55" s="15">
        <v>288000</v>
      </c>
      <c r="J55" s="15">
        <v>240000</v>
      </c>
      <c r="K55" s="15">
        <v>48000</v>
      </c>
    </row>
    <row r="56" spans="1:11">
      <c r="A56" s="9">
        <f t="shared" si="0"/>
        <v>51</v>
      </c>
      <c r="B56" s="9" t="s">
        <v>276</v>
      </c>
      <c r="C56" s="9" t="s">
        <v>53</v>
      </c>
      <c r="D56" s="9" t="s">
        <v>815</v>
      </c>
      <c r="E56" s="9" t="s">
        <v>322</v>
      </c>
      <c r="F56" s="9" t="s">
        <v>2284</v>
      </c>
      <c r="G56" s="9" t="s">
        <v>2285</v>
      </c>
      <c r="H56" s="9" t="s">
        <v>2286</v>
      </c>
      <c r="I56" s="15">
        <v>900000</v>
      </c>
      <c r="J56" s="15">
        <v>750000</v>
      </c>
      <c r="K56" s="15">
        <v>150000</v>
      </c>
    </row>
    <row r="57" spans="1:11">
      <c r="A57" s="9">
        <f t="shared" si="0"/>
        <v>52</v>
      </c>
      <c r="B57" s="9" t="s">
        <v>276</v>
      </c>
      <c r="C57" s="9" t="s">
        <v>53</v>
      </c>
      <c r="D57" s="9" t="s">
        <v>122</v>
      </c>
      <c r="E57" s="9" t="s">
        <v>339</v>
      </c>
      <c r="F57" s="9" t="s">
        <v>757</v>
      </c>
      <c r="G57" s="9" t="s">
        <v>758</v>
      </c>
      <c r="H57" s="9" t="s">
        <v>759</v>
      </c>
      <c r="I57" s="15">
        <v>1118866</v>
      </c>
      <c r="J57" s="15">
        <v>932388.33</v>
      </c>
      <c r="K57" s="15">
        <v>186477.67</v>
      </c>
    </row>
    <row r="58" spans="1:11">
      <c r="A58" s="9">
        <f t="shared" si="0"/>
        <v>53</v>
      </c>
      <c r="B58" s="9" t="s">
        <v>276</v>
      </c>
      <c r="C58" s="9" t="s">
        <v>53</v>
      </c>
      <c r="D58" s="9" t="s">
        <v>1248</v>
      </c>
      <c r="E58" s="9" t="s">
        <v>347</v>
      </c>
      <c r="F58" s="9" t="s">
        <v>2284</v>
      </c>
      <c r="G58" s="9" t="s">
        <v>2285</v>
      </c>
      <c r="H58" s="9" t="s">
        <v>2286</v>
      </c>
      <c r="I58" s="15">
        <v>970000</v>
      </c>
      <c r="J58" s="15">
        <v>808333.33</v>
      </c>
      <c r="K58" s="15">
        <v>161666.67000000001</v>
      </c>
    </row>
    <row r="59" spans="1:11">
      <c r="A59" s="9">
        <f t="shared" si="0"/>
        <v>54</v>
      </c>
      <c r="B59" s="9" t="s">
        <v>276</v>
      </c>
      <c r="C59" s="9" t="s">
        <v>53</v>
      </c>
      <c r="D59" s="9" t="s">
        <v>820</v>
      </c>
      <c r="E59" s="9" t="s">
        <v>2287</v>
      </c>
      <c r="F59" s="9" t="s">
        <v>757</v>
      </c>
      <c r="G59" s="9" t="s">
        <v>758</v>
      </c>
      <c r="H59" s="9" t="s">
        <v>759</v>
      </c>
      <c r="I59" s="15">
        <v>980000</v>
      </c>
      <c r="J59" s="15">
        <v>816666.67</v>
      </c>
      <c r="K59" s="15">
        <v>163333.32999999999</v>
      </c>
    </row>
    <row r="60" spans="1:11">
      <c r="A60" s="9">
        <f t="shared" si="0"/>
        <v>55</v>
      </c>
      <c r="B60" s="9" t="s">
        <v>276</v>
      </c>
      <c r="C60" s="9" t="s">
        <v>53</v>
      </c>
      <c r="D60" s="9" t="s">
        <v>71</v>
      </c>
      <c r="E60" s="9" t="s">
        <v>370</v>
      </c>
      <c r="F60" s="9" t="s">
        <v>2267</v>
      </c>
      <c r="G60" s="9" t="s">
        <v>2268</v>
      </c>
      <c r="H60" s="9" t="s">
        <v>2269</v>
      </c>
      <c r="I60" s="15">
        <v>190080</v>
      </c>
      <c r="J60" s="15">
        <v>158400</v>
      </c>
      <c r="K60" s="15">
        <v>31680</v>
      </c>
    </row>
    <row r="61" spans="1:11">
      <c r="A61" s="9">
        <f t="shared" si="0"/>
        <v>56</v>
      </c>
      <c r="B61" s="9" t="s">
        <v>378</v>
      </c>
      <c r="C61" s="9" t="s">
        <v>182</v>
      </c>
      <c r="D61" s="9" t="s">
        <v>256</v>
      </c>
      <c r="E61" s="9" t="s">
        <v>257</v>
      </c>
      <c r="F61" s="9" t="s">
        <v>74</v>
      </c>
      <c r="G61" s="9" t="s">
        <v>75</v>
      </c>
      <c r="H61" s="9" t="s">
        <v>38</v>
      </c>
      <c r="I61" s="15">
        <v>17993</v>
      </c>
      <c r="J61" s="15">
        <v>0</v>
      </c>
      <c r="K61" s="15">
        <v>2998.83</v>
      </c>
    </row>
    <row r="62" spans="1:11">
      <c r="A62" s="9">
        <f t="shared" si="0"/>
        <v>57</v>
      </c>
      <c r="B62" s="9" t="s">
        <v>378</v>
      </c>
      <c r="C62" s="9" t="s">
        <v>182</v>
      </c>
      <c r="D62" s="9" t="s">
        <v>341</v>
      </c>
      <c r="E62" s="9" t="s">
        <v>342</v>
      </c>
      <c r="F62" s="9" t="s">
        <v>74</v>
      </c>
      <c r="G62" s="9" t="s">
        <v>75</v>
      </c>
      <c r="H62" s="9" t="s">
        <v>38</v>
      </c>
      <c r="I62" s="15">
        <v>54000</v>
      </c>
      <c r="J62" s="15">
        <v>0</v>
      </c>
      <c r="K62" s="15">
        <v>9000</v>
      </c>
    </row>
    <row r="63" spans="1:11">
      <c r="A63" s="9">
        <f t="shared" si="0"/>
        <v>58</v>
      </c>
      <c r="B63" s="9" t="s">
        <v>378</v>
      </c>
      <c r="C63" s="9" t="s">
        <v>53</v>
      </c>
      <c r="D63" s="9" t="s">
        <v>785</v>
      </c>
      <c r="E63" s="9" t="s">
        <v>2288</v>
      </c>
      <c r="F63" s="9" t="s">
        <v>757</v>
      </c>
      <c r="G63" s="9" t="s">
        <v>758</v>
      </c>
      <c r="H63" s="9" t="s">
        <v>759</v>
      </c>
      <c r="I63" s="15">
        <v>1052160</v>
      </c>
      <c r="J63" s="15">
        <v>876800</v>
      </c>
      <c r="K63" s="15">
        <v>175360</v>
      </c>
    </row>
    <row r="64" spans="1:11">
      <c r="A64" s="9">
        <f t="shared" si="0"/>
        <v>59</v>
      </c>
      <c r="B64" s="9" t="s">
        <v>378</v>
      </c>
      <c r="C64" s="9" t="s">
        <v>53</v>
      </c>
      <c r="D64" s="9" t="s">
        <v>306</v>
      </c>
      <c r="E64" s="9" t="s">
        <v>2289</v>
      </c>
      <c r="F64" s="9" t="s">
        <v>757</v>
      </c>
      <c r="G64" s="9" t="s">
        <v>758</v>
      </c>
      <c r="H64" s="9" t="s">
        <v>759</v>
      </c>
      <c r="I64" s="15">
        <v>1350000</v>
      </c>
      <c r="J64" s="15">
        <v>1125000</v>
      </c>
      <c r="K64" s="15">
        <v>225000</v>
      </c>
    </row>
    <row r="65" spans="1:11">
      <c r="A65" s="9">
        <f t="shared" si="0"/>
        <v>60</v>
      </c>
      <c r="B65" s="9" t="s">
        <v>378</v>
      </c>
      <c r="C65" s="9" t="s">
        <v>255</v>
      </c>
      <c r="D65" s="9" t="s">
        <v>463</v>
      </c>
      <c r="E65" s="9" t="s">
        <v>464</v>
      </c>
      <c r="F65" s="9" t="s">
        <v>2290</v>
      </c>
      <c r="G65" s="9" t="s">
        <v>2268</v>
      </c>
      <c r="H65" s="9" t="s">
        <v>2291</v>
      </c>
      <c r="I65" s="15">
        <v>40950</v>
      </c>
      <c r="J65" s="15">
        <v>0</v>
      </c>
      <c r="K65" s="15">
        <v>6825</v>
      </c>
    </row>
    <row r="66" spans="1:11">
      <c r="A66" s="9">
        <f t="shared" si="0"/>
        <v>61</v>
      </c>
      <c r="B66" s="9" t="s">
        <v>378</v>
      </c>
      <c r="C66" s="9" t="s">
        <v>255</v>
      </c>
      <c r="D66" s="9" t="s">
        <v>465</v>
      </c>
      <c r="E66" s="9" t="s">
        <v>464</v>
      </c>
      <c r="F66" s="9" t="s">
        <v>2290</v>
      </c>
      <c r="G66" s="9" t="s">
        <v>2268</v>
      </c>
      <c r="H66" s="9" t="s">
        <v>2291</v>
      </c>
      <c r="I66" s="15">
        <v>50050</v>
      </c>
      <c r="J66" s="15">
        <v>0</v>
      </c>
      <c r="K66" s="15">
        <v>8341.67</v>
      </c>
    </row>
    <row r="67" spans="1:11">
      <c r="A67" s="9">
        <f t="shared" si="0"/>
        <v>62</v>
      </c>
      <c r="B67" s="9" t="s">
        <v>378</v>
      </c>
      <c r="C67" s="9" t="s">
        <v>53</v>
      </c>
      <c r="D67" s="9" t="s">
        <v>2292</v>
      </c>
      <c r="E67" s="9" t="s">
        <v>405</v>
      </c>
      <c r="F67" s="9" t="s">
        <v>2257</v>
      </c>
      <c r="G67" s="9" t="s">
        <v>1591</v>
      </c>
      <c r="H67" s="9" t="s">
        <v>2258</v>
      </c>
      <c r="I67" s="15">
        <v>217500</v>
      </c>
      <c r="J67" s="15">
        <v>181250</v>
      </c>
      <c r="K67" s="15">
        <v>36250</v>
      </c>
    </row>
    <row r="68" spans="1:11">
      <c r="A68" s="9">
        <f t="shared" si="0"/>
        <v>63</v>
      </c>
      <c r="B68" s="9" t="s">
        <v>378</v>
      </c>
      <c r="C68" s="9" t="s">
        <v>53</v>
      </c>
      <c r="D68" s="9" t="s">
        <v>1216</v>
      </c>
      <c r="E68" s="9" t="s">
        <v>407</v>
      </c>
      <c r="F68" s="9" t="s">
        <v>2257</v>
      </c>
      <c r="G68" s="9" t="s">
        <v>1591</v>
      </c>
      <c r="H68" s="9" t="s">
        <v>2258</v>
      </c>
      <c r="I68" s="15">
        <v>147117</v>
      </c>
      <c r="J68" s="15">
        <v>122597.5</v>
      </c>
      <c r="K68" s="15">
        <v>24519.5</v>
      </c>
    </row>
    <row r="69" spans="1:11">
      <c r="A69" s="9">
        <f t="shared" si="0"/>
        <v>64</v>
      </c>
      <c r="B69" s="9" t="s">
        <v>378</v>
      </c>
      <c r="C69" s="9" t="s">
        <v>53</v>
      </c>
      <c r="D69" s="9" t="s">
        <v>439</v>
      </c>
      <c r="E69" s="9" t="s">
        <v>2293</v>
      </c>
      <c r="F69" s="9" t="s">
        <v>757</v>
      </c>
      <c r="G69" s="9" t="s">
        <v>758</v>
      </c>
      <c r="H69" s="9" t="s">
        <v>759</v>
      </c>
      <c r="I69" s="15">
        <v>1133900</v>
      </c>
      <c r="J69" s="15">
        <v>944916.67</v>
      </c>
      <c r="K69" s="15">
        <v>188983.33</v>
      </c>
    </row>
    <row r="70" spans="1:11">
      <c r="A70" s="9">
        <f t="shared" si="0"/>
        <v>65</v>
      </c>
      <c r="B70" s="9" t="s">
        <v>378</v>
      </c>
      <c r="C70" s="9" t="s">
        <v>53</v>
      </c>
      <c r="D70" s="9" t="s">
        <v>1393</v>
      </c>
      <c r="E70" s="9" t="s">
        <v>2294</v>
      </c>
      <c r="F70" s="9" t="s">
        <v>895</v>
      </c>
      <c r="G70" s="9" t="s">
        <v>896</v>
      </c>
      <c r="H70" s="9" t="s">
        <v>897</v>
      </c>
      <c r="I70" s="15">
        <v>724710</v>
      </c>
      <c r="J70" s="15">
        <v>603925</v>
      </c>
      <c r="K70" s="15">
        <v>120785</v>
      </c>
    </row>
    <row r="71" spans="1:11">
      <c r="A71" s="9">
        <f t="shared" ref="A71:A134" si="1">A70+1</f>
        <v>66</v>
      </c>
      <c r="B71" s="9" t="s">
        <v>378</v>
      </c>
      <c r="C71" s="9" t="s">
        <v>53</v>
      </c>
      <c r="D71" s="9" t="s">
        <v>2295</v>
      </c>
      <c r="E71" s="9" t="s">
        <v>2296</v>
      </c>
      <c r="F71" s="9" t="s">
        <v>757</v>
      </c>
      <c r="G71" s="9" t="s">
        <v>758</v>
      </c>
      <c r="H71" s="9" t="s">
        <v>759</v>
      </c>
      <c r="I71" s="15">
        <v>862410</v>
      </c>
      <c r="J71" s="15">
        <v>718675</v>
      </c>
      <c r="K71" s="15">
        <v>143735</v>
      </c>
    </row>
    <row r="72" spans="1:11">
      <c r="A72" s="9">
        <f t="shared" si="1"/>
        <v>67</v>
      </c>
      <c r="B72" s="9" t="s">
        <v>378</v>
      </c>
      <c r="C72" s="9" t="s">
        <v>53</v>
      </c>
      <c r="D72" s="9" t="s">
        <v>127</v>
      </c>
      <c r="E72" s="9" t="s">
        <v>452</v>
      </c>
      <c r="F72" s="9" t="s">
        <v>2297</v>
      </c>
      <c r="G72" s="9" t="s">
        <v>2298</v>
      </c>
      <c r="H72" s="9" t="s">
        <v>2299</v>
      </c>
      <c r="I72" s="15">
        <v>887655</v>
      </c>
      <c r="J72" s="15">
        <v>739712.5</v>
      </c>
      <c r="K72" s="15">
        <v>147942.5</v>
      </c>
    </row>
    <row r="73" spans="1:11">
      <c r="A73" s="9">
        <f t="shared" si="1"/>
        <v>68</v>
      </c>
      <c r="B73" s="9" t="s">
        <v>378</v>
      </c>
      <c r="C73" s="9" t="s">
        <v>255</v>
      </c>
      <c r="D73" s="9" t="s">
        <v>476</v>
      </c>
      <c r="E73" s="9" t="s">
        <v>458</v>
      </c>
      <c r="F73" s="9" t="s">
        <v>2232</v>
      </c>
      <c r="G73" s="9" t="s">
        <v>2233</v>
      </c>
      <c r="H73" s="9" t="s">
        <v>2234</v>
      </c>
      <c r="I73" s="15">
        <v>500000</v>
      </c>
      <c r="J73" s="15">
        <v>0</v>
      </c>
      <c r="K73" s="15">
        <v>83333.33</v>
      </c>
    </row>
    <row r="74" spans="1:11">
      <c r="A74" s="9">
        <f t="shared" si="1"/>
        <v>69</v>
      </c>
      <c r="B74" s="9" t="s">
        <v>378</v>
      </c>
      <c r="C74" s="9" t="s">
        <v>53</v>
      </c>
      <c r="D74" s="9" t="s">
        <v>2300</v>
      </c>
      <c r="E74" s="9" t="s">
        <v>467</v>
      </c>
      <c r="F74" s="9" t="s">
        <v>757</v>
      </c>
      <c r="G74" s="9" t="s">
        <v>758</v>
      </c>
      <c r="H74" s="9" t="s">
        <v>759</v>
      </c>
      <c r="I74" s="15">
        <v>858245</v>
      </c>
      <c r="J74" s="15">
        <v>715204.17</v>
      </c>
      <c r="K74" s="15">
        <v>143040.82999999999</v>
      </c>
    </row>
    <row r="75" spans="1:11">
      <c r="A75" s="9">
        <f t="shared" si="1"/>
        <v>70</v>
      </c>
      <c r="B75" s="9" t="s">
        <v>378</v>
      </c>
      <c r="C75" s="9" t="s">
        <v>255</v>
      </c>
      <c r="D75" s="9" t="s">
        <v>768</v>
      </c>
      <c r="E75" s="9" t="s">
        <v>470</v>
      </c>
      <c r="F75" s="9" t="s">
        <v>2297</v>
      </c>
      <c r="G75" s="9" t="s">
        <v>195</v>
      </c>
      <c r="H75" s="9" t="s">
        <v>2299</v>
      </c>
      <c r="I75" s="15">
        <v>37655</v>
      </c>
      <c r="J75" s="15">
        <v>0</v>
      </c>
      <c r="K75" s="15">
        <v>6275.83</v>
      </c>
    </row>
    <row r="76" spans="1:11">
      <c r="A76" s="9">
        <f t="shared" si="1"/>
        <v>71</v>
      </c>
      <c r="B76" s="9" t="s">
        <v>378</v>
      </c>
      <c r="C76" s="9" t="s">
        <v>53</v>
      </c>
      <c r="D76" s="9" t="s">
        <v>835</v>
      </c>
      <c r="E76" s="9" t="s">
        <v>478</v>
      </c>
      <c r="F76" s="9" t="s">
        <v>2232</v>
      </c>
      <c r="G76" s="9" t="s">
        <v>2233</v>
      </c>
      <c r="H76" s="9" t="s">
        <v>2234</v>
      </c>
      <c r="I76" s="15">
        <v>500000.3</v>
      </c>
      <c r="J76" s="15">
        <v>416666.92</v>
      </c>
      <c r="K76" s="15">
        <v>83333.38</v>
      </c>
    </row>
    <row r="77" spans="1:11">
      <c r="A77" s="9">
        <f t="shared" si="1"/>
        <v>72</v>
      </c>
      <c r="B77" s="9" t="s">
        <v>378</v>
      </c>
      <c r="C77" s="9" t="s">
        <v>255</v>
      </c>
      <c r="D77" s="9" t="s">
        <v>481</v>
      </c>
      <c r="E77" s="9" t="s">
        <v>482</v>
      </c>
      <c r="F77" s="9" t="s">
        <v>757</v>
      </c>
      <c r="G77" s="9" t="s">
        <v>758</v>
      </c>
      <c r="H77" s="9" t="s">
        <v>759</v>
      </c>
      <c r="I77" s="15">
        <v>664000</v>
      </c>
      <c r="J77" s="15">
        <v>0</v>
      </c>
      <c r="K77" s="15">
        <v>110666.67</v>
      </c>
    </row>
    <row r="78" spans="1:11">
      <c r="A78" s="9">
        <f t="shared" si="1"/>
        <v>73</v>
      </c>
      <c r="B78" s="9" t="s">
        <v>378</v>
      </c>
      <c r="C78" s="9" t="s">
        <v>53</v>
      </c>
      <c r="D78" s="9" t="s">
        <v>1933</v>
      </c>
      <c r="E78" s="9" t="s">
        <v>2301</v>
      </c>
      <c r="F78" s="9" t="s">
        <v>757</v>
      </c>
      <c r="G78" s="9" t="s">
        <v>758</v>
      </c>
      <c r="H78" s="9" t="s">
        <v>759</v>
      </c>
      <c r="I78" s="15">
        <v>830000</v>
      </c>
      <c r="J78" s="15">
        <v>691666.67</v>
      </c>
      <c r="K78" s="15">
        <v>138333.32999999999</v>
      </c>
    </row>
    <row r="79" spans="1:11">
      <c r="A79" s="9">
        <f t="shared" si="1"/>
        <v>74</v>
      </c>
      <c r="B79" s="9" t="s">
        <v>378</v>
      </c>
      <c r="C79" s="9" t="s">
        <v>53</v>
      </c>
      <c r="D79" s="9" t="s">
        <v>679</v>
      </c>
      <c r="E79" s="9" t="s">
        <v>2301</v>
      </c>
      <c r="F79" s="9" t="s">
        <v>2302</v>
      </c>
      <c r="G79" s="9" t="s">
        <v>2268</v>
      </c>
      <c r="H79" s="9" t="s">
        <v>2303</v>
      </c>
      <c r="I79" s="15">
        <v>166000</v>
      </c>
      <c r="J79" s="15">
        <v>138333.32999999999</v>
      </c>
      <c r="K79" s="15">
        <v>27666.67</v>
      </c>
    </row>
    <row r="80" spans="1:11">
      <c r="A80" s="9">
        <f t="shared" si="1"/>
        <v>75</v>
      </c>
      <c r="B80" s="9" t="s">
        <v>378</v>
      </c>
      <c r="C80" s="9" t="s">
        <v>53</v>
      </c>
      <c r="D80" s="9" t="s">
        <v>886</v>
      </c>
      <c r="E80" s="9" t="s">
        <v>2304</v>
      </c>
      <c r="F80" s="9" t="s">
        <v>757</v>
      </c>
      <c r="G80" s="9" t="s">
        <v>758</v>
      </c>
      <c r="H80" s="9" t="s">
        <v>759</v>
      </c>
      <c r="I80" s="15">
        <v>794691</v>
      </c>
      <c r="J80" s="15">
        <v>662242.5</v>
      </c>
      <c r="K80" s="15">
        <v>132448.5</v>
      </c>
    </row>
    <row r="81" spans="1:11">
      <c r="A81" s="9">
        <f t="shared" si="1"/>
        <v>76</v>
      </c>
      <c r="B81" s="9" t="s">
        <v>378</v>
      </c>
      <c r="C81" s="9" t="s">
        <v>53</v>
      </c>
      <c r="D81" s="9" t="s">
        <v>653</v>
      </c>
      <c r="E81" s="9" t="s">
        <v>2304</v>
      </c>
      <c r="F81" s="9" t="s">
        <v>2302</v>
      </c>
      <c r="G81" s="9" t="s">
        <v>2268</v>
      </c>
      <c r="H81" s="9" t="s">
        <v>2303</v>
      </c>
      <c r="I81" s="15">
        <v>124500</v>
      </c>
      <c r="J81" s="15">
        <v>103750</v>
      </c>
      <c r="K81" s="15">
        <v>20750</v>
      </c>
    </row>
    <row r="82" spans="1:11">
      <c r="A82" s="9">
        <f t="shared" si="1"/>
        <v>77</v>
      </c>
      <c r="B82" s="9" t="s">
        <v>378</v>
      </c>
      <c r="C82" s="9" t="s">
        <v>53</v>
      </c>
      <c r="D82" s="9" t="s">
        <v>1986</v>
      </c>
      <c r="E82" s="9" t="s">
        <v>496</v>
      </c>
      <c r="F82" s="9" t="s">
        <v>757</v>
      </c>
      <c r="G82" s="9" t="s">
        <v>758</v>
      </c>
      <c r="H82" s="9" t="s">
        <v>759</v>
      </c>
      <c r="I82" s="15">
        <v>830000</v>
      </c>
      <c r="J82" s="15">
        <v>691666.67</v>
      </c>
      <c r="K82" s="15">
        <v>138333.32999999999</v>
      </c>
    </row>
    <row r="83" spans="1:11">
      <c r="A83" s="9">
        <f t="shared" si="1"/>
        <v>78</v>
      </c>
      <c r="B83" s="9" t="s">
        <v>378</v>
      </c>
      <c r="C83" s="9" t="s">
        <v>53</v>
      </c>
      <c r="D83" s="9" t="s">
        <v>681</v>
      </c>
      <c r="E83" s="9" t="s">
        <v>2305</v>
      </c>
      <c r="F83" s="9" t="s">
        <v>757</v>
      </c>
      <c r="G83" s="9" t="s">
        <v>758</v>
      </c>
      <c r="H83" s="9" t="s">
        <v>759</v>
      </c>
      <c r="I83" s="15">
        <v>981060</v>
      </c>
      <c r="J83" s="15">
        <v>817550</v>
      </c>
      <c r="K83" s="15">
        <v>163510</v>
      </c>
    </row>
    <row r="84" spans="1:11">
      <c r="A84" s="9">
        <f t="shared" si="1"/>
        <v>79</v>
      </c>
      <c r="B84" s="9" t="s">
        <v>378</v>
      </c>
      <c r="C84" s="9" t="s">
        <v>53</v>
      </c>
      <c r="D84" s="9" t="s">
        <v>1390</v>
      </c>
      <c r="E84" s="9" t="s">
        <v>532</v>
      </c>
      <c r="F84" s="9" t="s">
        <v>757</v>
      </c>
      <c r="G84" s="9" t="s">
        <v>758</v>
      </c>
      <c r="H84" s="9" t="s">
        <v>759</v>
      </c>
      <c r="I84" s="15">
        <v>897480</v>
      </c>
      <c r="J84" s="15">
        <v>747900</v>
      </c>
      <c r="K84" s="15">
        <v>149580</v>
      </c>
    </row>
    <row r="85" spans="1:11">
      <c r="A85" s="9">
        <f t="shared" si="1"/>
        <v>80</v>
      </c>
      <c r="B85" s="9" t="s">
        <v>533</v>
      </c>
      <c r="C85" s="9" t="s">
        <v>53</v>
      </c>
      <c r="D85" s="9" t="s">
        <v>2306</v>
      </c>
      <c r="E85" s="9" t="s">
        <v>2307</v>
      </c>
      <c r="F85" s="9" t="s">
        <v>757</v>
      </c>
      <c r="G85" s="9" t="s">
        <v>758</v>
      </c>
      <c r="H85" s="9" t="s">
        <v>759</v>
      </c>
      <c r="I85" s="15">
        <v>887240</v>
      </c>
      <c r="J85" s="15">
        <v>739366.67</v>
      </c>
      <c r="K85" s="15">
        <v>147873.32999999999</v>
      </c>
    </row>
    <row r="86" spans="1:11">
      <c r="A86" s="9">
        <f t="shared" si="1"/>
        <v>81</v>
      </c>
      <c r="B86" s="9" t="s">
        <v>533</v>
      </c>
      <c r="C86" s="9" t="s">
        <v>53</v>
      </c>
      <c r="D86" s="9" t="s">
        <v>1124</v>
      </c>
      <c r="E86" s="9" t="s">
        <v>2308</v>
      </c>
      <c r="F86" s="9" t="s">
        <v>2302</v>
      </c>
      <c r="G86" s="9" t="s">
        <v>2268</v>
      </c>
      <c r="H86" s="9" t="s">
        <v>2303</v>
      </c>
      <c r="I86" s="15">
        <v>121500</v>
      </c>
      <c r="J86" s="15">
        <v>101250</v>
      </c>
      <c r="K86" s="15">
        <v>20250</v>
      </c>
    </row>
    <row r="87" spans="1:11">
      <c r="A87" s="9">
        <f t="shared" si="1"/>
        <v>82</v>
      </c>
      <c r="B87" s="9" t="s">
        <v>533</v>
      </c>
      <c r="C87" s="9" t="s">
        <v>53</v>
      </c>
      <c r="D87" s="9" t="s">
        <v>2309</v>
      </c>
      <c r="E87" s="9" t="s">
        <v>553</v>
      </c>
      <c r="F87" s="9" t="s">
        <v>757</v>
      </c>
      <c r="G87" s="9" t="s">
        <v>758</v>
      </c>
      <c r="H87" s="9" t="s">
        <v>759</v>
      </c>
      <c r="I87" s="15">
        <v>705600</v>
      </c>
      <c r="J87" s="15">
        <v>588000</v>
      </c>
      <c r="K87" s="15">
        <v>117600</v>
      </c>
    </row>
    <row r="88" spans="1:11">
      <c r="A88" s="9">
        <f t="shared" si="1"/>
        <v>83</v>
      </c>
      <c r="B88" s="9" t="s">
        <v>533</v>
      </c>
      <c r="C88" s="9" t="s">
        <v>53</v>
      </c>
      <c r="D88" s="9" t="s">
        <v>340</v>
      </c>
      <c r="E88" s="9" t="s">
        <v>2310</v>
      </c>
      <c r="F88" s="9" t="s">
        <v>757</v>
      </c>
      <c r="G88" s="9" t="s">
        <v>758</v>
      </c>
      <c r="H88" s="9" t="s">
        <v>759</v>
      </c>
      <c r="I88" s="15">
        <v>837720</v>
      </c>
      <c r="J88" s="15">
        <v>698100</v>
      </c>
      <c r="K88" s="15">
        <v>139620</v>
      </c>
    </row>
    <row r="89" spans="1:11">
      <c r="A89" s="9">
        <f t="shared" si="1"/>
        <v>84</v>
      </c>
      <c r="B89" s="9" t="s">
        <v>533</v>
      </c>
      <c r="C89" s="9" t="s">
        <v>53</v>
      </c>
      <c r="D89" s="9" t="s">
        <v>2311</v>
      </c>
      <c r="E89" s="9" t="s">
        <v>588</v>
      </c>
      <c r="F89" s="9" t="s">
        <v>757</v>
      </c>
      <c r="G89" s="9" t="s">
        <v>758</v>
      </c>
      <c r="H89" s="9" t="s">
        <v>759</v>
      </c>
      <c r="I89" s="15">
        <v>879375</v>
      </c>
      <c r="J89" s="15">
        <v>732812.5</v>
      </c>
      <c r="K89" s="15">
        <v>146562.5</v>
      </c>
    </row>
    <row r="90" spans="1:11">
      <c r="A90" s="9">
        <f t="shared" si="1"/>
        <v>85</v>
      </c>
      <c r="B90" s="9" t="s">
        <v>533</v>
      </c>
      <c r="C90" s="9" t="s">
        <v>53</v>
      </c>
      <c r="D90" s="9" t="s">
        <v>509</v>
      </c>
      <c r="E90" s="9" t="s">
        <v>594</v>
      </c>
      <c r="F90" s="9" t="s">
        <v>2312</v>
      </c>
      <c r="G90" s="9" t="s">
        <v>2313</v>
      </c>
      <c r="H90" s="9" t="s">
        <v>2314</v>
      </c>
      <c r="I90" s="15">
        <v>14600</v>
      </c>
      <c r="J90" s="15">
        <v>12166.67</v>
      </c>
      <c r="K90" s="15">
        <v>2433.33</v>
      </c>
    </row>
    <row r="91" spans="1:11">
      <c r="A91" s="9">
        <f t="shared" si="1"/>
        <v>86</v>
      </c>
      <c r="B91" s="9" t="s">
        <v>533</v>
      </c>
      <c r="C91" s="9" t="s">
        <v>53</v>
      </c>
      <c r="D91" s="9" t="s">
        <v>1468</v>
      </c>
      <c r="E91" s="9" t="s">
        <v>2315</v>
      </c>
      <c r="F91" s="9" t="s">
        <v>757</v>
      </c>
      <c r="G91" s="9" t="s">
        <v>758</v>
      </c>
      <c r="H91" s="9" t="s">
        <v>759</v>
      </c>
      <c r="I91" s="15">
        <v>1072500</v>
      </c>
      <c r="J91" s="15">
        <v>893750</v>
      </c>
      <c r="K91" s="15">
        <v>178750</v>
      </c>
    </row>
    <row r="92" spans="1:11">
      <c r="A92" s="9">
        <f t="shared" si="1"/>
        <v>87</v>
      </c>
      <c r="B92" s="9" t="s">
        <v>533</v>
      </c>
      <c r="C92" s="9" t="s">
        <v>53</v>
      </c>
      <c r="D92" s="9" t="s">
        <v>2215</v>
      </c>
      <c r="E92" s="9" t="s">
        <v>623</v>
      </c>
      <c r="F92" s="9" t="s">
        <v>2302</v>
      </c>
      <c r="G92" s="9" t="s">
        <v>2268</v>
      </c>
      <c r="H92" s="9" t="s">
        <v>2303</v>
      </c>
      <c r="I92" s="15">
        <v>216000</v>
      </c>
      <c r="J92" s="15">
        <v>180000</v>
      </c>
      <c r="K92" s="15">
        <v>36000</v>
      </c>
    </row>
    <row r="93" spans="1:11">
      <c r="A93" s="9">
        <f t="shared" si="1"/>
        <v>88</v>
      </c>
      <c r="B93" s="9" t="s">
        <v>533</v>
      </c>
      <c r="C93" s="9" t="s">
        <v>53</v>
      </c>
      <c r="D93" s="9" t="s">
        <v>2316</v>
      </c>
      <c r="E93" s="9" t="s">
        <v>2317</v>
      </c>
      <c r="F93" s="9" t="s">
        <v>2318</v>
      </c>
      <c r="G93" s="9" t="s">
        <v>2319</v>
      </c>
      <c r="H93" s="9" t="s">
        <v>2320</v>
      </c>
      <c r="I93" s="15">
        <v>246848</v>
      </c>
      <c r="J93" s="15">
        <v>205706.67</v>
      </c>
      <c r="K93" s="15">
        <v>41141.33</v>
      </c>
    </row>
    <row r="94" spans="1:11">
      <c r="A94" s="9">
        <f t="shared" si="1"/>
        <v>89</v>
      </c>
      <c r="B94" s="9" t="s">
        <v>533</v>
      </c>
      <c r="C94" s="9" t="s">
        <v>53</v>
      </c>
      <c r="D94" s="9" t="s">
        <v>1636</v>
      </c>
      <c r="E94" s="9" t="s">
        <v>2321</v>
      </c>
      <c r="F94" s="9" t="s">
        <v>2302</v>
      </c>
      <c r="G94" s="9" t="s">
        <v>2268</v>
      </c>
      <c r="H94" s="9" t="s">
        <v>2303</v>
      </c>
      <c r="I94" s="15">
        <v>216504</v>
      </c>
      <c r="J94" s="15">
        <v>180420</v>
      </c>
      <c r="K94" s="15">
        <v>36084</v>
      </c>
    </row>
    <row r="95" spans="1:11">
      <c r="A95" s="9">
        <f t="shared" si="1"/>
        <v>90</v>
      </c>
      <c r="B95" s="9" t="s">
        <v>533</v>
      </c>
      <c r="C95" s="9" t="s">
        <v>53</v>
      </c>
      <c r="D95" s="9" t="s">
        <v>199</v>
      </c>
      <c r="E95" s="9" t="s">
        <v>2322</v>
      </c>
      <c r="F95" s="9" t="s">
        <v>2323</v>
      </c>
      <c r="G95" s="9" t="s">
        <v>2324</v>
      </c>
      <c r="H95" s="9" t="s">
        <v>2325</v>
      </c>
      <c r="I95" s="15">
        <v>140000</v>
      </c>
      <c r="J95" s="15">
        <v>116666.67</v>
      </c>
      <c r="K95" s="15">
        <v>23333.33</v>
      </c>
    </row>
    <row r="96" spans="1:11">
      <c r="A96" s="9">
        <f t="shared" si="1"/>
        <v>91</v>
      </c>
      <c r="B96" s="9" t="s">
        <v>533</v>
      </c>
      <c r="C96" s="9" t="s">
        <v>53</v>
      </c>
      <c r="D96" s="9" t="s">
        <v>797</v>
      </c>
      <c r="E96" s="9" t="s">
        <v>2326</v>
      </c>
      <c r="F96" s="9" t="s">
        <v>2302</v>
      </c>
      <c r="G96" s="9" t="s">
        <v>2268</v>
      </c>
      <c r="H96" s="9" t="s">
        <v>2303</v>
      </c>
      <c r="I96" s="15">
        <v>197540</v>
      </c>
      <c r="J96" s="15">
        <v>164616.67000000001</v>
      </c>
      <c r="K96" s="15">
        <v>32923.33</v>
      </c>
    </row>
    <row r="97" spans="1:11">
      <c r="A97" s="9">
        <f t="shared" si="1"/>
        <v>92</v>
      </c>
      <c r="B97" s="16" t="s">
        <v>641</v>
      </c>
      <c r="C97" s="9" t="s">
        <v>255</v>
      </c>
      <c r="D97" s="9" t="s">
        <v>107</v>
      </c>
      <c r="E97" s="9" t="s">
        <v>748</v>
      </c>
      <c r="F97" s="9" t="s">
        <v>2318</v>
      </c>
      <c r="G97" s="9" t="s">
        <v>2319</v>
      </c>
      <c r="H97" s="9" t="s">
        <v>2320</v>
      </c>
      <c r="I97" s="15">
        <v>500</v>
      </c>
      <c r="J97" s="15">
        <v>0</v>
      </c>
      <c r="K97" s="15">
        <v>83.33</v>
      </c>
    </row>
    <row r="98" spans="1:11">
      <c r="A98" s="9">
        <f t="shared" si="1"/>
        <v>93</v>
      </c>
      <c r="B98" s="16" t="s">
        <v>641</v>
      </c>
      <c r="C98" s="9" t="s">
        <v>53</v>
      </c>
      <c r="D98" s="9" t="s">
        <v>214</v>
      </c>
      <c r="E98" s="9" t="s">
        <v>2327</v>
      </c>
      <c r="F98" s="9" t="s">
        <v>2323</v>
      </c>
      <c r="G98" s="9" t="s">
        <v>2324</v>
      </c>
      <c r="H98" s="9" t="s">
        <v>2325</v>
      </c>
      <c r="I98" s="15">
        <v>18000</v>
      </c>
      <c r="J98" s="15">
        <v>15000</v>
      </c>
      <c r="K98" s="15">
        <v>3000</v>
      </c>
    </row>
    <row r="99" spans="1:11">
      <c r="A99" s="9">
        <f t="shared" si="1"/>
        <v>94</v>
      </c>
      <c r="B99" s="16" t="s">
        <v>641</v>
      </c>
      <c r="C99" s="9" t="s">
        <v>53</v>
      </c>
      <c r="D99" s="9" t="s">
        <v>731</v>
      </c>
      <c r="E99" s="9" t="s">
        <v>2327</v>
      </c>
      <c r="F99" s="9" t="s">
        <v>2328</v>
      </c>
      <c r="G99" s="9" t="s">
        <v>2329</v>
      </c>
      <c r="H99" s="9" t="s">
        <v>2330</v>
      </c>
      <c r="I99" s="15">
        <v>17600</v>
      </c>
      <c r="J99" s="15">
        <v>14666.67</v>
      </c>
      <c r="K99" s="15">
        <v>2933.33</v>
      </c>
    </row>
    <row r="100" spans="1:11">
      <c r="A100" s="9">
        <f t="shared" si="1"/>
        <v>95</v>
      </c>
      <c r="B100" s="16" t="s">
        <v>641</v>
      </c>
      <c r="C100" s="9" t="s">
        <v>53</v>
      </c>
      <c r="D100" s="9" t="s">
        <v>735</v>
      </c>
      <c r="E100" s="9" t="s">
        <v>2331</v>
      </c>
      <c r="F100" s="9" t="s">
        <v>2328</v>
      </c>
      <c r="G100" s="9" t="s">
        <v>2329</v>
      </c>
      <c r="H100" s="9" t="s">
        <v>2330</v>
      </c>
      <c r="I100" s="15">
        <v>733590</v>
      </c>
      <c r="J100" s="15">
        <v>611325</v>
      </c>
      <c r="K100" s="15">
        <v>122265</v>
      </c>
    </row>
    <row r="101" spans="1:11">
      <c r="A101" s="9">
        <f t="shared" si="1"/>
        <v>96</v>
      </c>
      <c r="B101" s="16" t="s">
        <v>641</v>
      </c>
      <c r="C101" s="9" t="s">
        <v>53</v>
      </c>
      <c r="D101" s="9" t="s">
        <v>236</v>
      </c>
      <c r="E101" s="9" t="s">
        <v>660</v>
      </c>
      <c r="F101" s="9" t="s">
        <v>2328</v>
      </c>
      <c r="G101" s="9" t="s">
        <v>2329</v>
      </c>
      <c r="H101" s="9" t="s">
        <v>2330</v>
      </c>
      <c r="I101" s="15">
        <v>990000</v>
      </c>
      <c r="J101" s="15">
        <v>825000</v>
      </c>
      <c r="K101" s="15">
        <v>165000</v>
      </c>
    </row>
    <row r="102" spans="1:11">
      <c r="A102" s="9">
        <f t="shared" si="1"/>
        <v>97</v>
      </c>
      <c r="B102" s="16" t="s">
        <v>641</v>
      </c>
      <c r="C102" s="9" t="s">
        <v>53</v>
      </c>
      <c r="D102" s="9" t="s">
        <v>646</v>
      </c>
      <c r="E102" s="9" t="s">
        <v>675</v>
      </c>
      <c r="F102" s="9" t="s">
        <v>2328</v>
      </c>
      <c r="G102" s="9" t="s">
        <v>2329</v>
      </c>
      <c r="H102" s="9" t="s">
        <v>2330</v>
      </c>
      <c r="I102" s="15">
        <v>1800000</v>
      </c>
      <c r="J102" s="15">
        <v>1500000</v>
      </c>
      <c r="K102" s="15">
        <v>300000</v>
      </c>
    </row>
    <row r="103" spans="1:11">
      <c r="A103" s="9">
        <f t="shared" si="1"/>
        <v>98</v>
      </c>
      <c r="B103" s="16" t="s">
        <v>641</v>
      </c>
      <c r="C103" s="9" t="s">
        <v>255</v>
      </c>
      <c r="D103" s="9" t="s">
        <v>72</v>
      </c>
      <c r="E103" s="9" t="s">
        <v>675</v>
      </c>
      <c r="F103" s="9" t="s">
        <v>2332</v>
      </c>
      <c r="G103" s="9" t="s">
        <v>2333</v>
      </c>
      <c r="H103" s="9" t="s">
        <v>2334</v>
      </c>
      <c r="I103" s="15">
        <v>248000</v>
      </c>
      <c r="J103" s="15">
        <v>0</v>
      </c>
      <c r="K103" s="15">
        <v>41333.33</v>
      </c>
    </row>
    <row r="104" spans="1:11">
      <c r="A104" s="9">
        <f t="shared" si="1"/>
        <v>99</v>
      </c>
      <c r="B104" s="16" t="s">
        <v>641</v>
      </c>
      <c r="C104" s="9" t="s">
        <v>53</v>
      </c>
      <c r="D104" s="9" t="s">
        <v>683</v>
      </c>
      <c r="E104" s="9" t="s">
        <v>680</v>
      </c>
      <c r="F104" s="9" t="s">
        <v>757</v>
      </c>
      <c r="G104" s="9" t="s">
        <v>758</v>
      </c>
      <c r="H104" s="9" t="s">
        <v>759</v>
      </c>
      <c r="I104" s="15">
        <v>920720</v>
      </c>
      <c r="J104" s="15">
        <v>767266.67</v>
      </c>
      <c r="K104" s="15">
        <v>153453.32999999999</v>
      </c>
    </row>
    <row r="105" spans="1:11">
      <c r="A105" s="9">
        <f t="shared" si="1"/>
        <v>100</v>
      </c>
      <c r="B105" s="16" t="s">
        <v>641</v>
      </c>
      <c r="C105" s="9" t="s">
        <v>255</v>
      </c>
      <c r="D105" s="9" t="s">
        <v>116</v>
      </c>
      <c r="E105" s="9" t="s">
        <v>2335</v>
      </c>
      <c r="F105" s="9" t="s">
        <v>733</v>
      </c>
      <c r="G105" s="9" t="s">
        <v>36</v>
      </c>
      <c r="H105" s="9" t="s">
        <v>734</v>
      </c>
      <c r="I105" s="15">
        <v>38000</v>
      </c>
      <c r="J105" s="15">
        <v>0</v>
      </c>
      <c r="K105" s="15">
        <v>6333.33</v>
      </c>
    </row>
    <row r="106" spans="1:11">
      <c r="A106" s="9">
        <f t="shared" si="1"/>
        <v>101</v>
      </c>
      <c r="B106" s="16" t="s">
        <v>641</v>
      </c>
      <c r="C106" s="9" t="s">
        <v>53</v>
      </c>
      <c r="D106" s="9" t="s">
        <v>769</v>
      </c>
      <c r="E106" s="9" t="s">
        <v>2336</v>
      </c>
      <c r="F106" s="9" t="s">
        <v>757</v>
      </c>
      <c r="G106" s="9" t="s">
        <v>758</v>
      </c>
      <c r="H106" s="9" t="s">
        <v>759</v>
      </c>
      <c r="I106" s="15">
        <v>667760</v>
      </c>
      <c r="J106" s="15">
        <v>556466.67000000004</v>
      </c>
      <c r="K106" s="15">
        <v>111293.33</v>
      </c>
    </row>
    <row r="107" spans="1:11">
      <c r="A107" s="9">
        <f t="shared" si="1"/>
        <v>102</v>
      </c>
      <c r="B107" s="16" t="s">
        <v>641</v>
      </c>
      <c r="C107" s="9" t="s">
        <v>53</v>
      </c>
      <c r="D107" s="9" t="s">
        <v>1375</v>
      </c>
      <c r="E107" s="9" t="s">
        <v>2337</v>
      </c>
      <c r="F107" s="9" t="s">
        <v>2328</v>
      </c>
      <c r="G107" s="9" t="s">
        <v>2329</v>
      </c>
      <c r="H107" s="9" t="s">
        <v>2330</v>
      </c>
      <c r="I107" s="15">
        <v>1800000</v>
      </c>
      <c r="J107" s="15">
        <v>1500000</v>
      </c>
      <c r="K107" s="15">
        <v>300000</v>
      </c>
    </row>
    <row r="108" spans="1:11">
      <c r="A108" s="9">
        <f t="shared" si="1"/>
        <v>103</v>
      </c>
      <c r="B108" s="16" t="s">
        <v>641</v>
      </c>
      <c r="C108" s="9" t="s">
        <v>53</v>
      </c>
      <c r="D108" s="9" t="s">
        <v>354</v>
      </c>
      <c r="E108" s="9" t="s">
        <v>709</v>
      </c>
      <c r="F108" s="9" t="s">
        <v>757</v>
      </c>
      <c r="G108" s="9" t="s">
        <v>758</v>
      </c>
      <c r="H108" s="9" t="s">
        <v>759</v>
      </c>
      <c r="I108" s="15">
        <v>791520</v>
      </c>
      <c r="J108" s="15">
        <v>659600</v>
      </c>
      <c r="K108" s="15">
        <v>131920</v>
      </c>
    </row>
    <row r="109" spans="1:11" ht="45">
      <c r="A109" s="9">
        <f t="shared" si="1"/>
        <v>104</v>
      </c>
      <c r="B109" s="16" t="s">
        <v>641</v>
      </c>
      <c r="C109" s="9" t="s">
        <v>53</v>
      </c>
      <c r="D109" s="9" t="s">
        <v>2241</v>
      </c>
      <c r="E109" s="9" t="s">
        <v>2338</v>
      </c>
      <c r="F109" s="9" t="s">
        <v>2339</v>
      </c>
      <c r="G109" s="9" t="s">
        <v>2340</v>
      </c>
      <c r="H109" s="9" t="s">
        <v>2341</v>
      </c>
      <c r="I109" s="15">
        <v>45000</v>
      </c>
      <c r="J109" s="15">
        <v>37500</v>
      </c>
      <c r="K109" s="15">
        <v>7500</v>
      </c>
    </row>
    <row r="110" spans="1:11">
      <c r="A110" s="9">
        <f t="shared" si="1"/>
        <v>105</v>
      </c>
      <c r="B110" s="16" t="s">
        <v>641</v>
      </c>
      <c r="C110" s="9" t="s">
        <v>53</v>
      </c>
      <c r="D110" s="9" t="s">
        <v>707</v>
      </c>
      <c r="E110" s="9" t="s">
        <v>716</v>
      </c>
      <c r="F110" s="9" t="s">
        <v>2328</v>
      </c>
      <c r="G110" s="9" t="s">
        <v>2329</v>
      </c>
      <c r="H110" s="9" t="s">
        <v>2330</v>
      </c>
      <c r="I110" s="15">
        <v>1800000</v>
      </c>
      <c r="J110" s="15">
        <v>1500000</v>
      </c>
      <c r="K110" s="15">
        <v>300000</v>
      </c>
    </row>
    <row r="111" spans="1:11">
      <c r="A111" s="9">
        <f t="shared" si="1"/>
        <v>106</v>
      </c>
      <c r="B111" s="16" t="s">
        <v>641</v>
      </c>
      <c r="C111" s="9" t="s">
        <v>255</v>
      </c>
      <c r="D111" s="9" t="s">
        <v>198</v>
      </c>
      <c r="E111" s="9" t="s">
        <v>915</v>
      </c>
      <c r="F111" s="9" t="s">
        <v>2342</v>
      </c>
      <c r="G111" s="9" t="s">
        <v>75</v>
      </c>
      <c r="H111" s="9" t="s">
        <v>2343</v>
      </c>
      <c r="I111" s="15">
        <v>6200</v>
      </c>
      <c r="J111" s="15">
        <v>0</v>
      </c>
      <c r="K111" s="15">
        <v>1033.33</v>
      </c>
    </row>
    <row r="112" spans="1:11">
      <c r="A112" s="9">
        <f t="shared" si="1"/>
        <v>107</v>
      </c>
      <c r="B112" s="16" t="s">
        <v>641</v>
      </c>
      <c r="C112" s="9" t="s">
        <v>53</v>
      </c>
      <c r="D112" s="9" t="s">
        <v>2244</v>
      </c>
      <c r="E112" s="9" t="s">
        <v>2344</v>
      </c>
      <c r="F112" s="9" t="s">
        <v>2332</v>
      </c>
      <c r="G112" s="9" t="s">
        <v>2333</v>
      </c>
      <c r="H112" s="9" t="s">
        <v>2334</v>
      </c>
      <c r="I112" s="15">
        <v>513920</v>
      </c>
      <c r="J112" s="15">
        <v>428266.67</v>
      </c>
      <c r="K112" s="15">
        <v>85653.33</v>
      </c>
    </row>
    <row r="113" spans="1:11">
      <c r="A113" s="9">
        <f t="shared" si="1"/>
        <v>108</v>
      </c>
      <c r="B113" s="16" t="s">
        <v>641</v>
      </c>
      <c r="C113" s="9" t="s">
        <v>53</v>
      </c>
      <c r="D113" s="9" t="s">
        <v>137</v>
      </c>
      <c r="E113" s="9" t="s">
        <v>2344</v>
      </c>
      <c r="F113" s="9" t="s">
        <v>757</v>
      </c>
      <c r="G113" s="9" t="s">
        <v>758</v>
      </c>
      <c r="H113" s="9" t="s">
        <v>759</v>
      </c>
      <c r="I113" s="15">
        <v>384120</v>
      </c>
      <c r="J113" s="15">
        <v>320100</v>
      </c>
      <c r="K113" s="15">
        <v>64020</v>
      </c>
    </row>
    <row r="114" spans="1:11">
      <c r="A114" s="9">
        <f t="shared" si="1"/>
        <v>109</v>
      </c>
      <c r="B114" s="16" t="s">
        <v>641</v>
      </c>
      <c r="C114" s="9" t="s">
        <v>53</v>
      </c>
      <c r="D114" s="9" t="s">
        <v>177</v>
      </c>
      <c r="E114" s="9" t="s">
        <v>738</v>
      </c>
      <c r="F114" s="9" t="s">
        <v>2302</v>
      </c>
      <c r="G114" s="9" t="s">
        <v>2268</v>
      </c>
      <c r="H114" s="9" t="s">
        <v>2303</v>
      </c>
      <c r="I114" s="15">
        <v>187426</v>
      </c>
      <c r="J114" s="15">
        <v>156188.32999999999</v>
      </c>
      <c r="K114" s="15">
        <v>31237.67</v>
      </c>
    </row>
    <row r="115" spans="1:11">
      <c r="A115" s="9">
        <f t="shared" si="1"/>
        <v>110</v>
      </c>
      <c r="B115" s="16" t="s">
        <v>641</v>
      </c>
      <c r="C115" s="9" t="s">
        <v>53</v>
      </c>
      <c r="D115" s="9" t="s">
        <v>1195</v>
      </c>
      <c r="E115" s="9" t="s">
        <v>739</v>
      </c>
      <c r="F115" s="9" t="s">
        <v>2328</v>
      </c>
      <c r="G115" s="9" t="s">
        <v>2329</v>
      </c>
      <c r="H115" s="9" t="s">
        <v>2330</v>
      </c>
      <c r="I115" s="15">
        <v>1791000</v>
      </c>
      <c r="J115" s="15">
        <v>1492500</v>
      </c>
      <c r="K115" s="15">
        <v>298500</v>
      </c>
    </row>
    <row r="116" spans="1:11">
      <c r="A116" s="9">
        <f t="shared" si="1"/>
        <v>111</v>
      </c>
      <c r="B116" s="16" t="s">
        <v>641</v>
      </c>
      <c r="C116" s="9" t="s">
        <v>53</v>
      </c>
      <c r="D116" s="9" t="s">
        <v>1202</v>
      </c>
      <c r="E116" s="9" t="s">
        <v>739</v>
      </c>
      <c r="F116" s="9" t="s">
        <v>757</v>
      </c>
      <c r="G116" s="9" t="s">
        <v>758</v>
      </c>
      <c r="H116" s="9" t="s">
        <v>759</v>
      </c>
      <c r="I116" s="15">
        <v>659400</v>
      </c>
      <c r="J116" s="15">
        <v>549500</v>
      </c>
      <c r="K116" s="15">
        <v>109900</v>
      </c>
    </row>
    <row r="117" spans="1:11">
      <c r="A117" s="9">
        <f t="shared" si="1"/>
        <v>112</v>
      </c>
      <c r="B117" s="16" t="s">
        <v>641</v>
      </c>
      <c r="C117" s="9" t="s">
        <v>53</v>
      </c>
      <c r="D117" s="9" t="s">
        <v>815</v>
      </c>
      <c r="E117" s="9" t="s">
        <v>739</v>
      </c>
      <c r="F117" s="9" t="s">
        <v>757</v>
      </c>
      <c r="G117" s="9" t="s">
        <v>758</v>
      </c>
      <c r="H117" s="9" t="s">
        <v>759</v>
      </c>
      <c r="I117" s="15">
        <v>24000</v>
      </c>
      <c r="J117" s="15">
        <v>20000</v>
      </c>
      <c r="K117" s="15">
        <v>4000</v>
      </c>
    </row>
    <row r="118" spans="1:11">
      <c r="A118" s="9">
        <f t="shared" si="1"/>
        <v>113</v>
      </c>
      <c r="B118" s="16" t="s">
        <v>641</v>
      </c>
      <c r="C118" s="9" t="s">
        <v>255</v>
      </c>
      <c r="D118" s="9" t="s">
        <v>203</v>
      </c>
      <c r="E118" s="9" t="s">
        <v>771</v>
      </c>
      <c r="F118" s="9" t="s">
        <v>2332</v>
      </c>
      <c r="G118" s="9" t="s">
        <v>2333</v>
      </c>
      <c r="H118" s="9" t="s">
        <v>2334</v>
      </c>
      <c r="I118" s="15">
        <v>248000</v>
      </c>
      <c r="J118" s="15">
        <v>0</v>
      </c>
      <c r="K118" s="15">
        <v>41333.33</v>
      </c>
    </row>
    <row r="119" spans="1:11">
      <c r="A119" s="9">
        <f t="shared" si="1"/>
        <v>114</v>
      </c>
      <c r="B119" s="16" t="s">
        <v>641</v>
      </c>
      <c r="C119" s="9" t="s">
        <v>53</v>
      </c>
      <c r="D119" s="9" t="s">
        <v>122</v>
      </c>
      <c r="E119" s="9" t="s">
        <v>750</v>
      </c>
      <c r="F119" s="9" t="s">
        <v>757</v>
      </c>
      <c r="G119" s="9" t="s">
        <v>758</v>
      </c>
      <c r="H119" s="9" t="s">
        <v>759</v>
      </c>
      <c r="I119" s="15">
        <v>728000</v>
      </c>
      <c r="J119" s="15">
        <v>606666.67000000004</v>
      </c>
      <c r="K119" s="15">
        <v>121333.33</v>
      </c>
    </row>
    <row r="120" spans="1:11">
      <c r="A120" s="9">
        <f t="shared" si="1"/>
        <v>115</v>
      </c>
      <c r="B120" s="16" t="s">
        <v>641</v>
      </c>
      <c r="C120" s="9" t="s">
        <v>53</v>
      </c>
      <c r="D120" s="9" t="s">
        <v>1248</v>
      </c>
      <c r="E120" s="9" t="s">
        <v>2345</v>
      </c>
      <c r="F120" s="9" t="s">
        <v>2267</v>
      </c>
      <c r="G120" s="9" t="s">
        <v>2268</v>
      </c>
      <c r="H120" s="9" t="s">
        <v>2269</v>
      </c>
      <c r="I120" s="15">
        <v>204366</v>
      </c>
      <c r="J120" s="15">
        <v>170305</v>
      </c>
      <c r="K120" s="15">
        <v>34061</v>
      </c>
    </row>
    <row r="121" spans="1:11">
      <c r="A121" s="9">
        <f t="shared" si="1"/>
        <v>116</v>
      </c>
      <c r="B121" s="16" t="s">
        <v>641</v>
      </c>
      <c r="C121" s="9" t="s">
        <v>53</v>
      </c>
      <c r="D121" s="9" t="s">
        <v>71</v>
      </c>
      <c r="E121" s="9" t="s">
        <v>753</v>
      </c>
      <c r="F121" s="9" t="s">
        <v>2346</v>
      </c>
      <c r="G121" s="9" t="s">
        <v>2347</v>
      </c>
      <c r="H121" s="9" t="s">
        <v>2348</v>
      </c>
      <c r="I121" s="15">
        <v>76300</v>
      </c>
      <c r="J121" s="15">
        <v>63583.33</v>
      </c>
      <c r="K121" s="15">
        <v>12716.67</v>
      </c>
    </row>
    <row r="122" spans="1:11">
      <c r="A122" s="9">
        <f t="shared" si="1"/>
        <v>117</v>
      </c>
      <c r="B122" s="16" t="s">
        <v>641</v>
      </c>
      <c r="C122" s="9" t="s">
        <v>53</v>
      </c>
      <c r="D122" s="9" t="s">
        <v>820</v>
      </c>
      <c r="E122" s="9" t="s">
        <v>765</v>
      </c>
      <c r="F122" s="9" t="s">
        <v>2328</v>
      </c>
      <c r="G122" s="9" t="s">
        <v>2329</v>
      </c>
      <c r="H122" s="9" t="s">
        <v>2330</v>
      </c>
      <c r="I122" s="15">
        <v>1800000</v>
      </c>
      <c r="J122" s="15">
        <v>1500000</v>
      </c>
      <c r="K122" s="15">
        <v>300000</v>
      </c>
    </row>
    <row r="123" spans="1:11">
      <c r="A123" s="9">
        <f t="shared" si="1"/>
        <v>118</v>
      </c>
      <c r="B123" s="16" t="s">
        <v>770</v>
      </c>
      <c r="C123" s="9" t="s">
        <v>53</v>
      </c>
      <c r="D123" s="9" t="s">
        <v>182</v>
      </c>
      <c r="E123" s="9" t="s">
        <v>2349</v>
      </c>
      <c r="F123" s="9" t="s">
        <v>2267</v>
      </c>
      <c r="G123" s="9" t="s">
        <v>2268</v>
      </c>
      <c r="H123" s="9" t="s">
        <v>2269</v>
      </c>
      <c r="I123" s="15">
        <v>572352</v>
      </c>
      <c r="J123" s="15">
        <v>476960</v>
      </c>
      <c r="K123" s="15">
        <v>95392</v>
      </c>
    </row>
    <row r="124" spans="1:11">
      <c r="A124" s="9">
        <f t="shared" si="1"/>
        <v>119</v>
      </c>
      <c r="B124" s="16" t="s">
        <v>770</v>
      </c>
      <c r="C124" s="9" t="s">
        <v>53</v>
      </c>
      <c r="D124" s="9" t="s">
        <v>2215</v>
      </c>
      <c r="E124" s="9" t="s">
        <v>2349</v>
      </c>
      <c r="F124" s="9" t="s">
        <v>2267</v>
      </c>
      <c r="G124" s="9" t="s">
        <v>2268</v>
      </c>
      <c r="H124" s="9" t="s">
        <v>2269</v>
      </c>
      <c r="I124" s="15">
        <v>1770000</v>
      </c>
      <c r="J124" s="15">
        <v>1475000</v>
      </c>
      <c r="K124" s="15">
        <v>295000</v>
      </c>
    </row>
    <row r="125" spans="1:11">
      <c r="A125" s="9">
        <f t="shared" si="1"/>
        <v>120</v>
      </c>
      <c r="B125" s="16" t="s">
        <v>770</v>
      </c>
      <c r="C125" s="9" t="s">
        <v>53</v>
      </c>
      <c r="D125" s="9" t="s">
        <v>2350</v>
      </c>
      <c r="E125" s="9" t="s">
        <v>2349</v>
      </c>
      <c r="F125" s="9" t="s">
        <v>2332</v>
      </c>
      <c r="G125" s="9" t="s">
        <v>2333</v>
      </c>
      <c r="H125" s="9" t="s">
        <v>2334</v>
      </c>
      <c r="I125" s="15">
        <v>252898</v>
      </c>
      <c r="J125" s="15">
        <v>210748.33</v>
      </c>
      <c r="K125" s="15">
        <v>42149.67</v>
      </c>
    </row>
    <row r="126" spans="1:11">
      <c r="A126" s="9">
        <f t="shared" si="1"/>
        <v>121</v>
      </c>
      <c r="B126" s="16" t="s">
        <v>770</v>
      </c>
      <c r="C126" s="9" t="s">
        <v>53</v>
      </c>
      <c r="D126" s="9" t="s">
        <v>260</v>
      </c>
      <c r="E126" s="9" t="s">
        <v>2351</v>
      </c>
      <c r="F126" s="9" t="s">
        <v>2346</v>
      </c>
      <c r="G126" s="9" t="s">
        <v>2347</v>
      </c>
      <c r="H126" s="9" t="s">
        <v>2348</v>
      </c>
      <c r="I126" s="15">
        <v>102000</v>
      </c>
      <c r="J126" s="15">
        <v>85000</v>
      </c>
      <c r="K126" s="15">
        <v>17000</v>
      </c>
    </row>
    <row r="127" spans="1:11">
      <c r="A127" s="9">
        <f t="shared" si="1"/>
        <v>122</v>
      </c>
      <c r="B127" s="16" t="s">
        <v>770</v>
      </c>
      <c r="C127" s="9" t="s">
        <v>53</v>
      </c>
      <c r="D127" s="9" t="s">
        <v>661</v>
      </c>
      <c r="E127" s="9" t="s">
        <v>2352</v>
      </c>
      <c r="F127" s="9" t="s">
        <v>2346</v>
      </c>
      <c r="G127" s="9" t="s">
        <v>2347</v>
      </c>
      <c r="H127" s="9" t="s">
        <v>2348</v>
      </c>
      <c r="I127" s="15">
        <v>129140</v>
      </c>
      <c r="J127" s="15">
        <v>107616.67</v>
      </c>
      <c r="K127" s="15">
        <v>21523.33</v>
      </c>
    </row>
    <row r="128" spans="1:11">
      <c r="A128" s="9">
        <f t="shared" si="1"/>
        <v>123</v>
      </c>
      <c r="B128" s="16" t="s">
        <v>770</v>
      </c>
      <c r="C128" s="9" t="s">
        <v>53</v>
      </c>
      <c r="D128" s="9" t="s">
        <v>785</v>
      </c>
      <c r="E128" s="9" t="s">
        <v>784</v>
      </c>
      <c r="F128" s="9" t="s">
        <v>2267</v>
      </c>
      <c r="G128" s="9" t="s">
        <v>2268</v>
      </c>
      <c r="H128" s="9" t="s">
        <v>2269</v>
      </c>
      <c r="I128" s="15">
        <v>222830</v>
      </c>
      <c r="J128" s="15">
        <v>185691.67</v>
      </c>
      <c r="K128" s="15">
        <v>37138.33</v>
      </c>
    </row>
    <row r="129" spans="1:11">
      <c r="A129" s="9">
        <f t="shared" si="1"/>
        <v>124</v>
      </c>
      <c r="B129" s="16" t="s">
        <v>770</v>
      </c>
      <c r="C129" s="9" t="s">
        <v>53</v>
      </c>
      <c r="D129" s="9" t="s">
        <v>306</v>
      </c>
      <c r="E129" s="9" t="s">
        <v>786</v>
      </c>
      <c r="F129" s="9" t="s">
        <v>2267</v>
      </c>
      <c r="G129" s="9" t="s">
        <v>2268</v>
      </c>
      <c r="H129" s="9" t="s">
        <v>2269</v>
      </c>
      <c r="I129" s="15">
        <v>283328</v>
      </c>
      <c r="J129" s="15">
        <v>236106.67</v>
      </c>
      <c r="K129" s="15">
        <v>47221.33</v>
      </c>
    </row>
    <row r="130" spans="1:11">
      <c r="A130" s="9">
        <f t="shared" si="1"/>
        <v>125</v>
      </c>
      <c r="B130" s="16" t="s">
        <v>770</v>
      </c>
      <c r="C130" s="9" t="s">
        <v>53</v>
      </c>
      <c r="D130" s="9" t="s">
        <v>2292</v>
      </c>
      <c r="E130" s="9" t="s">
        <v>786</v>
      </c>
      <c r="F130" s="9" t="s">
        <v>2353</v>
      </c>
      <c r="G130" s="9" t="s">
        <v>195</v>
      </c>
      <c r="H130" s="9" t="s">
        <v>2354</v>
      </c>
      <c r="I130" s="15">
        <v>361080</v>
      </c>
      <c r="J130" s="15">
        <v>300900</v>
      </c>
      <c r="K130" s="15">
        <v>60180</v>
      </c>
    </row>
    <row r="131" spans="1:11">
      <c r="A131" s="9">
        <f t="shared" si="1"/>
        <v>126</v>
      </c>
      <c r="B131" s="16" t="s">
        <v>770</v>
      </c>
      <c r="C131" s="9" t="s">
        <v>53</v>
      </c>
      <c r="D131" s="9" t="s">
        <v>439</v>
      </c>
      <c r="E131" s="9" t="s">
        <v>2355</v>
      </c>
      <c r="F131" s="9" t="s">
        <v>2267</v>
      </c>
      <c r="G131" s="9" t="s">
        <v>2268</v>
      </c>
      <c r="H131" s="9" t="s">
        <v>2269</v>
      </c>
      <c r="I131" s="15">
        <v>200340</v>
      </c>
      <c r="J131" s="15">
        <v>166950</v>
      </c>
      <c r="K131" s="15">
        <v>33390</v>
      </c>
    </row>
    <row r="132" spans="1:11">
      <c r="A132" s="9">
        <f t="shared" si="1"/>
        <v>127</v>
      </c>
      <c r="B132" s="16" t="s">
        <v>770</v>
      </c>
      <c r="C132" s="9" t="s">
        <v>53</v>
      </c>
      <c r="D132" s="9" t="s">
        <v>1393</v>
      </c>
      <c r="E132" s="9" t="s">
        <v>2356</v>
      </c>
      <c r="F132" s="9" t="s">
        <v>2267</v>
      </c>
      <c r="G132" s="9" t="s">
        <v>2268</v>
      </c>
      <c r="H132" s="9" t="s">
        <v>2269</v>
      </c>
      <c r="I132" s="15">
        <v>491150</v>
      </c>
      <c r="J132" s="15">
        <v>409291.66</v>
      </c>
      <c r="K132" s="15">
        <v>81858.34</v>
      </c>
    </row>
    <row r="133" spans="1:11">
      <c r="A133" s="9">
        <f t="shared" si="1"/>
        <v>128</v>
      </c>
      <c r="B133" s="16" t="s">
        <v>770</v>
      </c>
      <c r="C133" s="9" t="s">
        <v>53</v>
      </c>
      <c r="D133" s="9" t="s">
        <v>2295</v>
      </c>
      <c r="E133" s="9" t="s">
        <v>2356</v>
      </c>
      <c r="F133" s="9" t="s">
        <v>2267</v>
      </c>
      <c r="G133" s="9" t="s">
        <v>2268</v>
      </c>
      <c r="H133" s="9" t="s">
        <v>2269</v>
      </c>
      <c r="I133" s="15">
        <v>214592</v>
      </c>
      <c r="J133" s="15">
        <v>178826.67</v>
      </c>
      <c r="K133" s="15">
        <v>35765.33</v>
      </c>
    </row>
    <row r="134" spans="1:11">
      <c r="A134" s="9">
        <f t="shared" si="1"/>
        <v>129</v>
      </c>
      <c r="B134" s="16" t="s">
        <v>770</v>
      </c>
      <c r="C134" s="9" t="s">
        <v>53</v>
      </c>
      <c r="D134" s="9" t="s">
        <v>2357</v>
      </c>
      <c r="E134" s="9" t="s">
        <v>803</v>
      </c>
      <c r="F134" s="9" t="s">
        <v>757</v>
      </c>
      <c r="G134" s="9" t="s">
        <v>758</v>
      </c>
      <c r="H134" s="9" t="s">
        <v>759</v>
      </c>
      <c r="I134" s="15">
        <v>504750</v>
      </c>
      <c r="J134" s="15">
        <v>420625</v>
      </c>
      <c r="K134" s="15">
        <v>84125</v>
      </c>
    </row>
    <row r="135" spans="1:11">
      <c r="A135" s="9">
        <f t="shared" ref="A135:A198" si="2">A134+1</f>
        <v>130</v>
      </c>
      <c r="B135" s="16" t="s">
        <v>770</v>
      </c>
      <c r="C135" s="9" t="s">
        <v>53</v>
      </c>
      <c r="D135" s="9" t="s">
        <v>2300</v>
      </c>
      <c r="E135" s="9" t="s">
        <v>2358</v>
      </c>
      <c r="F135" s="9" t="s">
        <v>2353</v>
      </c>
      <c r="G135" s="9" t="s">
        <v>195</v>
      </c>
      <c r="H135" s="9" t="s">
        <v>2354</v>
      </c>
      <c r="I135" s="15">
        <v>343152</v>
      </c>
      <c r="J135" s="15">
        <v>285960</v>
      </c>
      <c r="K135" s="15">
        <v>57192</v>
      </c>
    </row>
    <row r="136" spans="1:11">
      <c r="A136" s="9">
        <f t="shared" si="2"/>
        <v>131</v>
      </c>
      <c r="B136" s="16" t="s">
        <v>770</v>
      </c>
      <c r="C136" s="9" t="s">
        <v>53</v>
      </c>
      <c r="D136" s="9" t="s">
        <v>323</v>
      </c>
      <c r="E136" s="9" t="s">
        <v>808</v>
      </c>
      <c r="F136" s="9" t="s">
        <v>2353</v>
      </c>
      <c r="G136" s="9" t="s">
        <v>195</v>
      </c>
      <c r="H136" s="9" t="s">
        <v>2354</v>
      </c>
      <c r="I136" s="15">
        <v>1145357</v>
      </c>
      <c r="J136" s="15">
        <v>954464.17</v>
      </c>
      <c r="K136" s="15">
        <v>190892.83</v>
      </c>
    </row>
    <row r="137" spans="1:11">
      <c r="A137" s="9">
        <f t="shared" si="2"/>
        <v>132</v>
      </c>
      <c r="B137" s="16" t="s">
        <v>770</v>
      </c>
      <c r="C137" s="9" t="s">
        <v>53</v>
      </c>
      <c r="D137" s="9" t="s">
        <v>127</v>
      </c>
      <c r="E137" s="9" t="s">
        <v>2359</v>
      </c>
      <c r="F137" s="9" t="s">
        <v>757</v>
      </c>
      <c r="G137" s="9" t="s">
        <v>758</v>
      </c>
      <c r="H137" s="9" t="s">
        <v>759</v>
      </c>
      <c r="I137" s="15">
        <v>663000</v>
      </c>
      <c r="J137" s="15">
        <v>552500</v>
      </c>
      <c r="K137" s="15">
        <v>110500</v>
      </c>
    </row>
    <row r="138" spans="1:11">
      <c r="A138" s="9">
        <f t="shared" si="2"/>
        <v>133</v>
      </c>
      <c r="B138" s="16" t="s">
        <v>770</v>
      </c>
      <c r="C138" s="9" t="s">
        <v>53</v>
      </c>
      <c r="D138" s="9" t="s">
        <v>1933</v>
      </c>
      <c r="E138" s="9" t="s">
        <v>2360</v>
      </c>
      <c r="F138" s="9" t="s">
        <v>2353</v>
      </c>
      <c r="G138" s="9" t="s">
        <v>195</v>
      </c>
      <c r="H138" s="9" t="s">
        <v>2354</v>
      </c>
      <c r="I138" s="15">
        <v>401857</v>
      </c>
      <c r="J138" s="15">
        <v>334880.83</v>
      </c>
      <c r="K138" s="15">
        <v>66976.17</v>
      </c>
    </row>
    <row r="139" spans="1:11">
      <c r="A139" s="9">
        <f t="shared" si="2"/>
        <v>134</v>
      </c>
      <c r="B139" s="16" t="s">
        <v>770</v>
      </c>
      <c r="C139" s="9" t="s">
        <v>53</v>
      </c>
      <c r="D139" s="9" t="s">
        <v>835</v>
      </c>
      <c r="E139" s="9" t="s">
        <v>821</v>
      </c>
      <c r="F139" s="9" t="s">
        <v>2353</v>
      </c>
      <c r="G139" s="9" t="s">
        <v>195</v>
      </c>
      <c r="H139" s="9" t="s">
        <v>2354</v>
      </c>
      <c r="I139" s="15">
        <v>750000</v>
      </c>
      <c r="J139" s="15">
        <v>625000</v>
      </c>
      <c r="K139" s="15">
        <v>125000</v>
      </c>
    </row>
    <row r="140" spans="1:11">
      <c r="A140" s="9">
        <f t="shared" si="2"/>
        <v>135</v>
      </c>
      <c r="B140" s="16" t="s">
        <v>770</v>
      </c>
      <c r="C140" s="9" t="s">
        <v>53</v>
      </c>
      <c r="D140" s="9" t="s">
        <v>1216</v>
      </c>
      <c r="E140" s="9" t="s">
        <v>826</v>
      </c>
      <c r="F140" s="9" t="s">
        <v>2267</v>
      </c>
      <c r="G140" s="9" t="s">
        <v>2268</v>
      </c>
      <c r="H140" s="9" t="s">
        <v>2269</v>
      </c>
      <c r="I140" s="15">
        <v>838686</v>
      </c>
      <c r="J140" s="15">
        <v>698905</v>
      </c>
      <c r="K140" s="15">
        <v>139781</v>
      </c>
    </row>
    <row r="141" spans="1:11" ht="30">
      <c r="A141" s="9">
        <f t="shared" si="2"/>
        <v>136</v>
      </c>
      <c r="B141" s="16" t="s">
        <v>770</v>
      </c>
      <c r="C141" s="9" t="s">
        <v>53</v>
      </c>
      <c r="D141" s="9" t="s">
        <v>1986</v>
      </c>
      <c r="E141" s="9" t="s">
        <v>2361</v>
      </c>
      <c r="F141" s="9" t="s">
        <v>2362</v>
      </c>
      <c r="G141" s="9" t="s">
        <v>36</v>
      </c>
      <c r="H141" s="9" t="s">
        <v>2363</v>
      </c>
      <c r="I141" s="15">
        <v>74000</v>
      </c>
      <c r="J141" s="15">
        <v>61666.67</v>
      </c>
      <c r="K141" s="15">
        <v>12333.33</v>
      </c>
    </row>
    <row r="142" spans="1:11" ht="30">
      <c r="A142" s="9">
        <f t="shared" si="2"/>
        <v>137</v>
      </c>
      <c r="B142" s="16" t="s">
        <v>770</v>
      </c>
      <c r="C142" s="9" t="s">
        <v>53</v>
      </c>
      <c r="D142" s="9" t="s">
        <v>681</v>
      </c>
      <c r="E142" s="9" t="s">
        <v>837</v>
      </c>
      <c r="F142" s="9" t="s">
        <v>2364</v>
      </c>
      <c r="G142" s="9" t="s">
        <v>2365</v>
      </c>
      <c r="H142" s="9" t="s">
        <v>2366</v>
      </c>
      <c r="I142" s="15">
        <v>22200</v>
      </c>
      <c r="J142" s="15">
        <v>18500</v>
      </c>
      <c r="K142" s="15">
        <v>3700</v>
      </c>
    </row>
    <row r="143" spans="1:11">
      <c r="A143" s="9">
        <f t="shared" si="2"/>
        <v>138</v>
      </c>
      <c r="B143" s="16" t="s">
        <v>770</v>
      </c>
      <c r="C143" s="9" t="s">
        <v>53</v>
      </c>
      <c r="D143" s="9" t="s">
        <v>679</v>
      </c>
      <c r="E143" s="9" t="s">
        <v>2367</v>
      </c>
      <c r="F143" s="9" t="s">
        <v>757</v>
      </c>
      <c r="G143" s="9" t="s">
        <v>758</v>
      </c>
      <c r="H143" s="9" t="s">
        <v>759</v>
      </c>
      <c r="I143" s="15">
        <v>775500</v>
      </c>
      <c r="J143" s="15">
        <v>646250</v>
      </c>
      <c r="K143" s="15">
        <v>129250</v>
      </c>
    </row>
    <row r="144" spans="1:11">
      <c r="A144" s="9">
        <f t="shared" si="2"/>
        <v>139</v>
      </c>
      <c r="B144" s="16" t="s">
        <v>770</v>
      </c>
      <c r="C144" s="9" t="s">
        <v>53</v>
      </c>
      <c r="D144" s="9" t="s">
        <v>1390</v>
      </c>
      <c r="E144" s="9" t="s">
        <v>843</v>
      </c>
      <c r="F144" s="9" t="s">
        <v>2267</v>
      </c>
      <c r="G144" s="9" t="s">
        <v>2268</v>
      </c>
      <c r="H144" s="9" t="s">
        <v>2269</v>
      </c>
      <c r="I144" s="15">
        <v>728340</v>
      </c>
      <c r="J144" s="15">
        <v>606950</v>
      </c>
      <c r="K144" s="15">
        <v>121390</v>
      </c>
    </row>
    <row r="145" spans="1:11">
      <c r="A145" s="9">
        <f t="shared" si="2"/>
        <v>140</v>
      </c>
      <c r="B145" s="16" t="s">
        <v>770</v>
      </c>
      <c r="C145" s="9" t="s">
        <v>53</v>
      </c>
      <c r="D145" s="9" t="s">
        <v>1124</v>
      </c>
      <c r="E145" s="9" t="s">
        <v>849</v>
      </c>
      <c r="F145" s="9" t="s">
        <v>2267</v>
      </c>
      <c r="G145" s="9" t="s">
        <v>2268</v>
      </c>
      <c r="H145" s="9" t="s">
        <v>2269</v>
      </c>
      <c r="I145" s="15">
        <v>779270</v>
      </c>
      <c r="J145" s="15">
        <v>649391.66</v>
      </c>
      <c r="K145" s="15">
        <v>129878.34</v>
      </c>
    </row>
    <row r="146" spans="1:11" ht="30">
      <c r="A146" s="9">
        <f t="shared" si="2"/>
        <v>141</v>
      </c>
      <c r="B146" s="16" t="s">
        <v>770</v>
      </c>
      <c r="C146" s="9" t="s">
        <v>53</v>
      </c>
      <c r="D146" s="9" t="s">
        <v>2306</v>
      </c>
      <c r="E146" s="9" t="s">
        <v>852</v>
      </c>
      <c r="F146" s="9" t="s">
        <v>2362</v>
      </c>
      <c r="G146" s="9" t="s">
        <v>36</v>
      </c>
      <c r="H146" s="9" t="s">
        <v>2363</v>
      </c>
      <c r="I146" s="15">
        <v>370000</v>
      </c>
      <c r="J146" s="15">
        <v>308333.33</v>
      </c>
      <c r="K146" s="15">
        <v>61666.67</v>
      </c>
    </row>
    <row r="147" spans="1:11">
      <c r="A147" s="9">
        <f t="shared" si="2"/>
        <v>142</v>
      </c>
      <c r="B147" s="16" t="s">
        <v>770</v>
      </c>
      <c r="C147" s="9" t="s">
        <v>53</v>
      </c>
      <c r="D147" s="9" t="s">
        <v>2309</v>
      </c>
      <c r="E147" s="9" t="s">
        <v>857</v>
      </c>
      <c r="F147" s="9" t="s">
        <v>2328</v>
      </c>
      <c r="G147" s="9" t="s">
        <v>2329</v>
      </c>
      <c r="H147" s="9" t="s">
        <v>2330</v>
      </c>
      <c r="I147" s="15">
        <v>950000</v>
      </c>
      <c r="J147" s="15">
        <v>791666.67</v>
      </c>
      <c r="K147" s="15">
        <v>158333.32999999999</v>
      </c>
    </row>
    <row r="148" spans="1:11">
      <c r="A148" s="9">
        <f t="shared" si="2"/>
        <v>143</v>
      </c>
      <c r="B148" s="16" t="s">
        <v>770</v>
      </c>
      <c r="C148" s="9" t="s">
        <v>53</v>
      </c>
      <c r="D148" s="9" t="s">
        <v>340</v>
      </c>
      <c r="E148" s="9" t="s">
        <v>867</v>
      </c>
      <c r="F148" s="9" t="s">
        <v>757</v>
      </c>
      <c r="G148" s="9" t="s">
        <v>758</v>
      </c>
      <c r="H148" s="9" t="s">
        <v>759</v>
      </c>
      <c r="I148" s="15">
        <v>375000</v>
      </c>
      <c r="J148" s="15">
        <v>312500</v>
      </c>
      <c r="K148" s="15">
        <v>62500</v>
      </c>
    </row>
    <row r="149" spans="1:11">
      <c r="A149" s="9">
        <f t="shared" si="2"/>
        <v>144</v>
      </c>
      <c r="B149" s="16" t="s">
        <v>770</v>
      </c>
      <c r="C149" s="9" t="s">
        <v>53</v>
      </c>
      <c r="D149" s="9" t="s">
        <v>199</v>
      </c>
      <c r="E149" s="9" t="s">
        <v>874</v>
      </c>
      <c r="F149" s="9" t="s">
        <v>2267</v>
      </c>
      <c r="G149" s="9" t="s">
        <v>2268</v>
      </c>
      <c r="H149" s="9" t="s">
        <v>2269</v>
      </c>
      <c r="I149" s="15">
        <v>866744</v>
      </c>
      <c r="J149" s="15">
        <v>722286.67</v>
      </c>
      <c r="K149" s="15">
        <v>144457.32999999999</v>
      </c>
    </row>
    <row r="150" spans="1:11">
      <c r="A150" s="9">
        <f t="shared" si="2"/>
        <v>145</v>
      </c>
      <c r="B150" s="16" t="s">
        <v>770</v>
      </c>
      <c r="C150" s="9" t="s">
        <v>53</v>
      </c>
      <c r="D150" s="9" t="s">
        <v>2368</v>
      </c>
      <c r="E150" s="9" t="s">
        <v>2369</v>
      </c>
      <c r="F150" s="9" t="s">
        <v>2353</v>
      </c>
      <c r="G150" s="9" t="s">
        <v>195</v>
      </c>
      <c r="H150" s="9" t="s">
        <v>2354</v>
      </c>
      <c r="I150" s="15">
        <v>123370</v>
      </c>
      <c r="J150" s="15">
        <v>102808.33</v>
      </c>
      <c r="K150" s="15">
        <v>20561.669999999998</v>
      </c>
    </row>
    <row r="151" spans="1:11">
      <c r="A151" s="9">
        <f t="shared" si="2"/>
        <v>146</v>
      </c>
      <c r="B151" s="16" t="s">
        <v>770</v>
      </c>
      <c r="C151" s="9" t="s">
        <v>53</v>
      </c>
      <c r="D151" s="9" t="s">
        <v>2311</v>
      </c>
      <c r="E151" s="9" t="s">
        <v>881</v>
      </c>
      <c r="F151" s="9" t="s">
        <v>2328</v>
      </c>
      <c r="G151" s="9" t="s">
        <v>2329</v>
      </c>
      <c r="H151" s="9" t="s">
        <v>2330</v>
      </c>
      <c r="I151" s="15">
        <v>1900000</v>
      </c>
      <c r="J151" s="15">
        <v>1583333.33</v>
      </c>
      <c r="K151" s="15">
        <v>316666.67</v>
      </c>
    </row>
    <row r="152" spans="1:11">
      <c r="A152" s="9">
        <f t="shared" si="2"/>
        <v>147</v>
      </c>
      <c r="B152" s="16" t="s">
        <v>770</v>
      </c>
      <c r="C152" s="9" t="s">
        <v>53</v>
      </c>
      <c r="D152" s="9" t="s">
        <v>509</v>
      </c>
      <c r="E152" s="9" t="s">
        <v>909</v>
      </c>
      <c r="F152" s="9" t="s">
        <v>2267</v>
      </c>
      <c r="G152" s="9" t="s">
        <v>2268</v>
      </c>
      <c r="H152" s="9" t="s">
        <v>2269</v>
      </c>
      <c r="I152" s="15">
        <v>563573</v>
      </c>
      <c r="J152" s="15">
        <v>469644.17</v>
      </c>
      <c r="K152" s="15">
        <v>93928.83</v>
      </c>
    </row>
    <row r="153" spans="1:11">
      <c r="A153" s="9">
        <f t="shared" si="2"/>
        <v>148</v>
      </c>
      <c r="B153" s="9" t="s">
        <v>892</v>
      </c>
      <c r="C153" s="9" t="s">
        <v>53</v>
      </c>
      <c r="D153" s="9" t="s">
        <v>1468</v>
      </c>
      <c r="E153" s="9" t="s">
        <v>2370</v>
      </c>
      <c r="F153" s="9" t="s">
        <v>2267</v>
      </c>
      <c r="G153" s="9" t="s">
        <v>2268</v>
      </c>
      <c r="H153" s="9" t="s">
        <v>2269</v>
      </c>
      <c r="I153" s="15">
        <v>816973</v>
      </c>
      <c r="J153" s="15">
        <v>680810.83</v>
      </c>
      <c r="K153" s="15">
        <v>136162.17000000001</v>
      </c>
    </row>
    <row r="154" spans="1:11">
      <c r="A154" s="9">
        <f t="shared" si="2"/>
        <v>149</v>
      </c>
      <c r="B154" s="9" t="s">
        <v>892</v>
      </c>
      <c r="C154" s="9" t="s">
        <v>53</v>
      </c>
      <c r="D154" s="9" t="s">
        <v>2316</v>
      </c>
      <c r="E154" s="9" t="s">
        <v>2371</v>
      </c>
      <c r="F154" s="9" t="s">
        <v>757</v>
      </c>
      <c r="G154" s="9" t="s">
        <v>758</v>
      </c>
      <c r="H154" s="9" t="s">
        <v>759</v>
      </c>
      <c r="I154" s="15">
        <v>743920</v>
      </c>
      <c r="J154" s="15">
        <v>619933.32999999996</v>
      </c>
      <c r="K154" s="15">
        <v>123986.67</v>
      </c>
    </row>
    <row r="155" spans="1:11">
      <c r="A155" s="9">
        <f t="shared" si="2"/>
        <v>150</v>
      </c>
      <c r="B155" s="9" t="s">
        <v>892</v>
      </c>
      <c r="C155" s="9" t="s">
        <v>53</v>
      </c>
      <c r="D155" s="9" t="s">
        <v>797</v>
      </c>
      <c r="E155" s="9" t="s">
        <v>909</v>
      </c>
      <c r="F155" s="9" t="s">
        <v>2267</v>
      </c>
      <c r="G155" s="9" t="s">
        <v>2268</v>
      </c>
      <c r="H155" s="9" t="s">
        <v>2269</v>
      </c>
      <c r="I155" s="15">
        <v>734280</v>
      </c>
      <c r="J155" s="15">
        <v>611900</v>
      </c>
      <c r="K155" s="15">
        <v>122380</v>
      </c>
    </row>
    <row r="156" spans="1:11">
      <c r="A156" s="9">
        <f t="shared" si="2"/>
        <v>151</v>
      </c>
      <c r="B156" s="9" t="s">
        <v>892</v>
      </c>
      <c r="C156" s="9" t="s">
        <v>53</v>
      </c>
      <c r="D156" s="9" t="s">
        <v>509</v>
      </c>
      <c r="E156" s="9" t="s">
        <v>909</v>
      </c>
      <c r="F156" s="9" t="s">
        <v>2267</v>
      </c>
      <c r="G156" s="9" t="s">
        <v>2268</v>
      </c>
      <c r="H156" s="9" t="s">
        <v>2269</v>
      </c>
      <c r="I156" s="15">
        <v>563573</v>
      </c>
      <c r="J156" s="15">
        <v>0</v>
      </c>
      <c r="K156" s="15">
        <v>0</v>
      </c>
    </row>
    <row r="157" spans="1:11">
      <c r="A157" s="9">
        <f t="shared" si="2"/>
        <v>152</v>
      </c>
      <c r="B157" s="9" t="s">
        <v>892</v>
      </c>
      <c r="C157" s="9" t="s">
        <v>53</v>
      </c>
      <c r="D157" s="9" t="s">
        <v>1636</v>
      </c>
      <c r="E157" s="9" t="s">
        <v>2372</v>
      </c>
      <c r="F157" s="9" t="s">
        <v>2342</v>
      </c>
      <c r="G157" s="9" t="s">
        <v>75</v>
      </c>
      <c r="H157" s="9" t="s">
        <v>2343</v>
      </c>
      <c r="I157" s="15">
        <v>6200</v>
      </c>
      <c r="J157" s="15">
        <v>5166.67</v>
      </c>
      <c r="K157" s="15">
        <v>1033.33</v>
      </c>
    </row>
    <row r="158" spans="1:11">
      <c r="A158" s="9">
        <f t="shared" si="2"/>
        <v>153</v>
      </c>
      <c r="B158" s="9" t="s">
        <v>892</v>
      </c>
      <c r="C158" s="9" t="s">
        <v>53</v>
      </c>
      <c r="D158" s="9" t="s">
        <v>2373</v>
      </c>
      <c r="E158" s="9" t="s">
        <v>2374</v>
      </c>
      <c r="F158" s="9" t="s">
        <v>2328</v>
      </c>
      <c r="G158" s="9" t="s">
        <v>2329</v>
      </c>
      <c r="H158" s="9" t="s">
        <v>2330</v>
      </c>
      <c r="I158" s="15">
        <v>490000</v>
      </c>
      <c r="J158" s="15">
        <v>408333.33</v>
      </c>
      <c r="K158" s="15">
        <v>81666.67</v>
      </c>
    </row>
    <row r="159" spans="1:11">
      <c r="A159" s="9">
        <f t="shared" si="2"/>
        <v>154</v>
      </c>
      <c r="B159" s="9" t="s">
        <v>892</v>
      </c>
      <c r="C159" s="9" t="s">
        <v>53</v>
      </c>
      <c r="D159" s="9" t="s">
        <v>2375</v>
      </c>
      <c r="E159" s="9" t="s">
        <v>919</v>
      </c>
      <c r="F159" s="9" t="s">
        <v>2328</v>
      </c>
      <c r="G159" s="9" t="s">
        <v>2329</v>
      </c>
      <c r="H159" s="9" t="s">
        <v>2330</v>
      </c>
      <c r="I159" s="15">
        <v>490000</v>
      </c>
      <c r="J159" s="15">
        <v>408333.33</v>
      </c>
      <c r="K159" s="15">
        <v>81666.67</v>
      </c>
    </row>
    <row r="160" spans="1:11">
      <c r="A160" s="9">
        <f t="shared" si="2"/>
        <v>155</v>
      </c>
      <c r="B160" s="9" t="s">
        <v>892</v>
      </c>
      <c r="C160" s="9" t="s">
        <v>53</v>
      </c>
      <c r="D160" s="9" t="s">
        <v>2376</v>
      </c>
      <c r="E160" s="9" t="s">
        <v>922</v>
      </c>
      <c r="F160" s="9" t="s">
        <v>2267</v>
      </c>
      <c r="G160" s="9" t="s">
        <v>2268</v>
      </c>
      <c r="H160" s="9" t="s">
        <v>2269</v>
      </c>
      <c r="I160" s="15">
        <v>768306</v>
      </c>
      <c r="J160" s="15">
        <v>640255</v>
      </c>
      <c r="K160" s="15">
        <v>128051</v>
      </c>
    </row>
    <row r="161" spans="1:11">
      <c r="A161" s="9">
        <f t="shared" si="2"/>
        <v>156</v>
      </c>
      <c r="B161" s="9" t="s">
        <v>892</v>
      </c>
      <c r="C161" s="9" t="s">
        <v>53</v>
      </c>
      <c r="D161" s="9" t="s">
        <v>205</v>
      </c>
      <c r="E161" s="9" t="s">
        <v>927</v>
      </c>
      <c r="F161" s="9" t="s">
        <v>2328</v>
      </c>
      <c r="G161" s="9" t="s">
        <v>2329</v>
      </c>
      <c r="H161" s="9" t="s">
        <v>2330</v>
      </c>
      <c r="I161" s="15">
        <v>490000</v>
      </c>
      <c r="J161" s="15">
        <v>408333.33</v>
      </c>
      <c r="K161" s="15">
        <v>81666.67</v>
      </c>
    </row>
    <row r="162" spans="1:11" ht="30">
      <c r="A162" s="9">
        <f t="shared" si="2"/>
        <v>157</v>
      </c>
      <c r="B162" s="9" t="s">
        <v>892</v>
      </c>
      <c r="C162" s="9" t="s">
        <v>53</v>
      </c>
      <c r="D162" s="9" t="s">
        <v>361</v>
      </c>
      <c r="E162" s="9" t="s">
        <v>927</v>
      </c>
      <c r="F162" s="9" t="s">
        <v>2364</v>
      </c>
      <c r="G162" s="9" t="s">
        <v>2365</v>
      </c>
      <c r="H162" s="9" t="s">
        <v>2366</v>
      </c>
      <c r="I162" s="15">
        <v>408100</v>
      </c>
      <c r="J162" s="15">
        <v>340083.33</v>
      </c>
      <c r="K162" s="15">
        <v>68016.67</v>
      </c>
    </row>
    <row r="163" spans="1:11">
      <c r="A163" s="9">
        <f t="shared" si="2"/>
        <v>158</v>
      </c>
      <c r="B163" s="9" t="s">
        <v>892</v>
      </c>
      <c r="C163" s="9" t="s">
        <v>53</v>
      </c>
      <c r="D163" s="9" t="s">
        <v>2377</v>
      </c>
      <c r="E163" s="9" t="s">
        <v>930</v>
      </c>
      <c r="F163" s="9" t="s">
        <v>2267</v>
      </c>
      <c r="G163" s="9" t="s">
        <v>2268</v>
      </c>
      <c r="H163" s="9" t="s">
        <v>2269</v>
      </c>
      <c r="I163" s="15">
        <v>486225</v>
      </c>
      <c r="J163" s="15">
        <v>405187.5</v>
      </c>
      <c r="K163" s="15">
        <v>81037.5</v>
      </c>
    </row>
    <row r="164" spans="1:11">
      <c r="A164" s="9">
        <f t="shared" si="2"/>
        <v>159</v>
      </c>
      <c r="B164" s="9" t="s">
        <v>892</v>
      </c>
      <c r="C164" s="9" t="s">
        <v>53</v>
      </c>
      <c r="D164" s="9" t="s">
        <v>1712</v>
      </c>
      <c r="E164" s="9" t="s">
        <v>2378</v>
      </c>
      <c r="F164" s="9" t="s">
        <v>2328</v>
      </c>
      <c r="G164" s="9" t="s">
        <v>2329</v>
      </c>
      <c r="H164" s="9" t="s">
        <v>2330</v>
      </c>
      <c r="I164" s="15">
        <v>490000</v>
      </c>
      <c r="J164" s="15">
        <v>408333.33</v>
      </c>
      <c r="K164" s="15">
        <v>81666.67</v>
      </c>
    </row>
    <row r="165" spans="1:11">
      <c r="A165" s="9">
        <f t="shared" si="2"/>
        <v>160</v>
      </c>
      <c r="B165" s="9" t="s">
        <v>892</v>
      </c>
      <c r="C165" s="9" t="s">
        <v>53</v>
      </c>
      <c r="D165" s="9" t="s">
        <v>714</v>
      </c>
      <c r="E165" s="9" t="s">
        <v>949</v>
      </c>
      <c r="F165" s="9" t="s">
        <v>2267</v>
      </c>
      <c r="G165" s="9" t="s">
        <v>2268</v>
      </c>
      <c r="H165" s="9" t="s">
        <v>2269</v>
      </c>
      <c r="I165" s="15">
        <v>744890</v>
      </c>
      <c r="J165" s="15">
        <v>620741.67000000004</v>
      </c>
      <c r="K165" s="15">
        <v>124148.33</v>
      </c>
    </row>
    <row r="166" spans="1:11">
      <c r="A166" s="9">
        <f t="shared" si="2"/>
        <v>161</v>
      </c>
      <c r="B166" s="9" t="s">
        <v>892</v>
      </c>
      <c r="C166" s="9" t="s">
        <v>53</v>
      </c>
      <c r="D166" s="9" t="s">
        <v>2379</v>
      </c>
      <c r="E166" s="9" t="s">
        <v>955</v>
      </c>
      <c r="F166" s="9" t="s">
        <v>2267</v>
      </c>
      <c r="G166" s="9" t="s">
        <v>2268</v>
      </c>
      <c r="H166" s="9" t="s">
        <v>2269</v>
      </c>
      <c r="I166" s="15">
        <v>682017</v>
      </c>
      <c r="J166" s="15">
        <v>568347.5</v>
      </c>
      <c r="K166" s="15">
        <v>113669.5</v>
      </c>
    </row>
    <row r="167" spans="1:11">
      <c r="A167" s="9">
        <f t="shared" si="2"/>
        <v>162</v>
      </c>
      <c r="B167" s="9" t="s">
        <v>892</v>
      </c>
      <c r="C167" s="9" t="s">
        <v>53</v>
      </c>
      <c r="D167" s="9" t="s">
        <v>2380</v>
      </c>
      <c r="E167" s="9" t="s">
        <v>2381</v>
      </c>
      <c r="F167" s="9" t="s">
        <v>2328</v>
      </c>
      <c r="G167" s="9" t="s">
        <v>2329</v>
      </c>
      <c r="H167" s="9" t="s">
        <v>2330</v>
      </c>
      <c r="I167" s="15">
        <v>850000</v>
      </c>
      <c r="J167" s="15">
        <v>708333.33</v>
      </c>
      <c r="K167" s="15">
        <v>141666.67000000001</v>
      </c>
    </row>
    <row r="168" spans="1:11">
      <c r="A168" s="9">
        <f t="shared" si="2"/>
        <v>163</v>
      </c>
      <c r="B168" s="9" t="s">
        <v>892</v>
      </c>
      <c r="C168" s="9" t="s">
        <v>53</v>
      </c>
      <c r="D168" s="9" t="s">
        <v>2382</v>
      </c>
      <c r="E168" s="9" t="s">
        <v>2383</v>
      </c>
      <c r="F168" s="9" t="s">
        <v>2267</v>
      </c>
      <c r="G168" s="9" t="s">
        <v>2268</v>
      </c>
      <c r="H168" s="9" t="s">
        <v>2269</v>
      </c>
      <c r="I168" s="15">
        <v>178871</v>
      </c>
      <c r="J168" s="15">
        <v>149059.17000000001</v>
      </c>
      <c r="K168" s="15">
        <v>29811.83</v>
      </c>
    </row>
    <row r="169" spans="1:11">
      <c r="A169" s="9">
        <f t="shared" si="2"/>
        <v>164</v>
      </c>
      <c r="B169" s="9" t="s">
        <v>892</v>
      </c>
      <c r="C169" s="9" t="s">
        <v>53</v>
      </c>
      <c r="D169" s="9" t="s">
        <v>1910</v>
      </c>
      <c r="E169" s="9" t="s">
        <v>973</v>
      </c>
      <c r="F169" s="9" t="s">
        <v>2267</v>
      </c>
      <c r="G169" s="9" t="s">
        <v>2268</v>
      </c>
      <c r="H169" s="9" t="s">
        <v>2269</v>
      </c>
      <c r="I169" s="15">
        <v>233399</v>
      </c>
      <c r="J169" s="15">
        <v>194499.17</v>
      </c>
      <c r="K169" s="15">
        <v>38899.83</v>
      </c>
    </row>
    <row r="170" spans="1:11" ht="30">
      <c r="A170" s="9">
        <f t="shared" si="2"/>
        <v>165</v>
      </c>
      <c r="B170" s="9" t="s">
        <v>892</v>
      </c>
      <c r="C170" s="9" t="s">
        <v>53</v>
      </c>
      <c r="D170" s="9" t="s">
        <v>948</v>
      </c>
      <c r="E170" s="9" t="s">
        <v>975</v>
      </c>
      <c r="F170" s="9" t="s">
        <v>2364</v>
      </c>
      <c r="G170" s="9" t="s">
        <v>2365</v>
      </c>
      <c r="H170" s="9" t="s">
        <v>2366</v>
      </c>
      <c r="I170" s="15">
        <v>49000</v>
      </c>
      <c r="J170" s="15">
        <v>40833.33</v>
      </c>
      <c r="K170" s="15">
        <v>8166.67</v>
      </c>
    </row>
    <row r="171" spans="1:11">
      <c r="A171" s="9">
        <f t="shared" si="2"/>
        <v>166</v>
      </c>
      <c r="B171" s="9" t="s">
        <v>892</v>
      </c>
      <c r="C171" s="9" t="s">
        <v>53</v>
      </c>
      <c r="D171" s="9" t="s">
        <v>346</v>
      </c>
      <c r="E171" s="9" t="s">
        <v>975</v>
      </c>
      <c r="F171" s="9" t="s">
        <v>2384</v>
      </c>
      <c r="G171" s="9" t="s">
        <v>2233</v>
      </c>
      <c r="H171" s="9" t="s">
        <v>2385</v>
      </c>
      <c r="I171" s="15">
        <v>490000</v>
      </c>
      <c r="J171" s="15">
        <v>408333.33</v>
      </c>
      <c r="K171" s="15">
        <v>81666.67</v>
      </c>
    </row>
    <row r="172" spans="1:11">
      <c r="A172" s="9">
        <f t="shared" si="2"/>
        <v>167</v>
      </c>
      <c r="B172" s="9" t="s">
        <v>892</v>
      </c>
      <c r="C172" s="9" t="s">
        <v>53</v>
      </c>
      <c r="D172" s="9" t="s">
        <v>2386</v>
      </c>
      <c r="E172" s="9" t="s">
        <v>975</v>
      </c>
      <c r="F172" s="9" t="s">
        <v>2267</v>
      </c>
      <c r="G172" s="9" t="s">
        <v>2268</v>
      </c>
      <c r="H172" s="9" t="s">
        <v>2269</v>
      </c>
      <c r="I172" s="15">
        <v>905611</v>
      </c>
      <c r="J172" s="15">
        <v>754675.83</v>
      </c>
      <c r="K172" s="15">
        <v>150935.17000000001</v>
      </c>
    </row>
    <row r="173" spans="1:11">
      <c r="A173" s="9">
        <f t="shared" si="2"/>
        <v>168</v>
      </c>
      <c r="B173" s="9" t="s">
        <v>892</v>
      </c>
      <c r="C173" s="9" t="s">
        <v>53</v>
      </c>
      <c r="D173" s="9" t="s">
        <v>296</v>
      </c>
      <c r="E173" s="9" t="s">
        <v>982</v>
      </c>
      <c r="F173" s="9" t="s">
        <v>2267</v>
      </c>
      <c r="G173" s="9" t="s">
        <v>2268</v>
      </c>
      <c r="H173" s="9" t="s">
        <v>2269</v>
      </c>
      <c r="I173" s="15">
        <v>531010</v>
      </c>
      <c r="J173" s="15">
        <v>442508.34</v>
      </c>
      <c r="K173" s="15">
        <v>88501.66</v>
      </c>
    </row>
    <row r="174" spans="1:11" ht="45">
      <c r="A174" s="9">
        <f t="shared" si="2"/>
        <v>169</v>
      </c>
      <c r="B174" s="9" t="s">
        <v>892</v>
      </c>
      <c r="C174" s="9" t="s">
        <v>53</v>
      </c>
      <c r="D174" s="9" t="s">
        <v>369</v>
      </c>
      <c r="E174" s="9" t="s">
        <v>986</v>
      </c>
      <c r="F174" s="9" t="s">
        <v>2339</v>
      </c>
      <c r="G174" s="9" t="s">
        <v>2340</v>
      </c>
      <c r="H174" s="9" t="s">
        <v>2341</v>
      </c>
      <c r="I174" s="15">
        <v>183000</v>
      </c>
      <c r="J174" s="15">
        <v>152500</v>
      </c>
      <c r="K174" s="15">
        <v>30500</v>
      </c>
    </row>
    <row r="175" spans="1:11">
      <c r="A175" s="9">
        <f t="shared" si="2"/>
        <v>170</v>
      </c>
      <c r="B175" s="9" t="s">
        <v>892</v>
      </c>
      <c r="C175" s="9" t="s">
        <v>53</v>
      </c>
      <c r="D175" s="9" t="s">
        <v>2387</v>
      </c>
      <c r="E175" s="9" t="s">
        <v>2388</v>
      </c>
      <c r="F175" s="9" t="s">
        <v>2389</v>
      </c>
      <c r="G175" s="9" t="s">
        <v>792</v>
      </c>
      <c r="H175" s="9" t="s">
        <v>2390</v>
      </c>
      <c r="I175" s="15">
        <v>836000</v>
      </c>
      <c r="J175" s="15">
        <v>696666.67</v>
      </c>
      <c r="K175" s="15">
        <v>139333.32999999999</v>
      </c>
    </row>
    <row r="176" spans="1:11">
      <c r="A176" s="9">
        <f t="shared" si="2"/>
        <v>171</v>
      </c>
      <c r="B176" s="9" t="s">
        <v>892</v>
      </c>
      <c r="C176" s="9" t="s">
        <v>53</v>
      </c>
      <c r="D176" s="9" t="s">
        <v>2391</v>
      </c>
      <c r="E176" s="9" t="s">
        <v>994</v>
      </c>
      <c r="F176" s="9" t="s">
        <v>2392</v>
      </c>
      <c r="G176" s="9" t="s">
        <v>314</v>
      </c>
      <c r="H176" s="9" t="s">
        <v>2393</v>
      </c>
      <c r="I176" s="15">
        <v>374220</v>
      </c>
      <c r="J176" s="15">
        <v>311850</v>
      </c>
      <c r="K176" s="15">
        <v>62370</v>
      </c>
    </row>
    <row r="177" spans="1:11">
      <c r="A177" s="9">
        <f t="shared" si="2"/>
        <v>172</v>
      </c>
      <c r="B177" s="9" t="s">
        <v>892</v>
      </c>
      <c r="C177" s="9" t="s">
        <v>53</v>
      </c>
      <c r="D177" s="9" t="s">
        <v>742</v>
      </c>
      <c r="E177" s="9" t="s">
        <v>994</v>
      </c>
      <c r="F177" s="9" t="s">
        <v>2267</v>
      </c>
      <c r="G177" s="9" t="s">
        <v>2268</v>
      </c>
      <c r="H177" s="9" t="s">
        <v>2269</v>
      </c>
      <c r="I177" s="15">
        <v>785708</v>
      </c>
      <c r="J177" s="15">
        <v>654756.67000000004</v>
      </c>
      <c r="K177" s="15">
        <v>130951.33</v>
      </c>
    </row>
    <row r="178" spans="1:11">
      <c r="A178" s="9">
        <f t="shared" si="2"/>
        <v>173</v>
      </c>
      <c r="B178" s="9" t="s">
        <v>892</v>
      </c>
      <c r="C178" s="9" t="s">
        <v>53</v>
      </c>
      <c r="D178" s="9" t="s">
        <v>2394</v>
      </c>
      <c r="E178" s="9" t="s">
        <v>2395</v>
      </c>
      <c r="F178" s="9" t="s">
        <v>2267</v>
      </c>
      <c r="G178" s="9" t="s">
        <v>2268</v>
      </c>
      <c r="H178" s="9" t="s">
        <v>2269</v>
      </c>
      <c r="I178" s="15">
        <v>1059580</v>
      </c>
      <c r="J178" s="15">
        <v>882983.33</v>
      </c>
      <c r="K178" s="15">
        <v>176596.67</v>
      </c>
    </row>
    <row r="179" spans="1:11">
      <c r="A179" s="9">
        <f t="shared" si="2"/>
        <v>174</v>
      </c>
      <c r="B179" s="9" t="s">
        <v>892</v>
      </c>
      <c r="C179" s="9" t="s">
        <v>53</v>
      </c>
      <c r="D179" s="9" t="s">
        <v>336</v>
      </c>
      <c r="E179" s="9" t="s">
        <v>997</v>
      </c>
      <c r="F179" s="9" t="s">
        <v>2396</v>
      </c>
      <c r="G179" s="9" t="s">
        <v>222</v>
      </c>
      <c r="H179" s="9" t="s">
        <v>2397</v>
      </c>
      <c r="I179" s="15">
        <v>414520</v>
      </c>
      <c r="J179" s="15">
        <v>345433.33</v>
      </c>
      <c r="K179" s="15">
        <v>69086.67</v>
      </c>
    </row>
    <row r="180" spans="1:11">
      <c r="A180" s="9">
        <f t="shared" si="2"/>
        <v>175</v>
      </c>
      <c r="B180" s="9" t="s">
        <v>892</v>
      </c>
      <c r="C180" s="9" t="s">
        <v>53</v>
      </c>
      <c r="D180" s="9" t="s">
        <v>173</v>
      </c>
      <c r="E180" s="9" t="s">
        <v>1008</v>
      </c>
      <c r="F180" s="9" t="s">
        <v>2392</v>
      </c>
      <c r="G180" s="9" t="s">
        <v>314</v>
      </c>
      <c r="H180" s="9" t="s">
        <v>2393</v>
      </c>
      <c r="I180" s="15">
        <v>453600</v>
      </c>
      <c r="J180" s="15">
        <v>378000</v>
      </c>
      <c r="K180" s="15">
        <v>75600</v>
      </c>
    </row>
    <row r="181" spans="1:11">
      <c r="A181" s="9">
        <f t="shared" si="2"/>
        <v>176</v>
      </c>
      <c r="B181" s="9" t="s">
        <v>892</v>
      </c>
      <c r="C181" s="9" t="s">
        <v>255</v>
      </c>
      <c r="D181" s="9" t="s">
        <v>1013</v>
      </c>
      <c r="E181" s="9" t="s">
        <v>1010</v>
      </c>
      <c r="F181" s="9" t="s">
        <v>650</v>
      </c>
      <c r="G181" s="9" t="s">
        <v>651</v>
      </c>
      <c r="H181" s="9" t="s">
        <v>652</v>
      </c>
      <c r="I181" s="15">
        <v>475945</v>
      </c>
      <c r="J181" s="15">
        <v>0</v>
      </c>
      <c r="K181" s="15">
        <v>79324.160000000003</v>
      </c>
    </row>
    <row r="182" spans="1:11">
      <c r="A182" s="9">
        <f t="shared" si="2"/>
        <v>177</v>
      </c>
      <c r="B182" s="9" t="s">
        <v>892</v>
      </c>
      <c r="C182" s="9" t="s">
        <v>53</v>
      </c>
      <c r="D182" s="9" t="s">
        <v>270</v>
      </c>
      <c r="E182" s="9" t="s">
        <v>1012</v>
      </c>
      <c r="F182" s="9" t="s">
        <v>2267</v>
      </c>
      <c r="G182" s="9" t="s">
        <v>2268</v>
      </c>
      <c r="H182" s="9" t="s">
        <v>2269</v>
      </c>
      <c r="I182" s="15">
        <v>814080</v>
      </c>
      <c r="J182" s="15">
        <v>678400</v>
      </c>
      <c r="K182" s="15">
        <v>135680</v>
      </c>
    </row>
    <row r="183" spans="1:11">
      <c r="A183" s="9">
        <f t="shared" si="2"/>
        <v>178</v>
      </c>
      <c r="B183" s="9" t="s">
        <v>892</v>
      </c>
      <c r="C183" s="9" t="s">
        <v>53</v>
      </c>
      <c r="D183" s="9" t="s">
        <v>367</v>
      </c>
      <c r="E183" s="9" t="s">
        <v>1012</v>
      </c>
      <c r="F183" s="9" t="s">
        <v>2398</v>
      </c>
      <c r="G183" s="9" t="s">
        <v>2399</v>
      </c>
      <c r="H183" s="9" t="s">
        <v>2400</v>
      </c>
      <c r="I183" s="15">
        <v>100000</v>
      </c>
      <c r="J183" s="15">
        <v>83333.33</v>
      </c>
      <c r="K183" s="15">
        <v>16666.669999999998</v>
      </c>
    </row>
    <row r="184" spans="1:11">
      <c r="A184" s="9">
        <f t="shared" si="2"/>
        <v>179</v>
      </c>
      <c r="B184" s="9" t="s">
        <v>892</v>
      </c>
      <c r="C184" s="9" t="s">
        <v>53</v>
      </c>
      <c r="D184" s="9" t="s">
        <v>586</v>
      </c>
      <c r="E184" s="9" t="s">
        <v>1018</v>
      </c>
      <c r="F184" s="9" t="s">
        <v>757</v>
      </c>
      <c r="G184" s="9" t="s">
        <v>758</v>
      </c>
      <c r="H184" s="9" t="s">
        <v>759</v>
      </c>
      <c r="I184" s="15">
        <v>560696</v>
      </c>
      <c r="J184" s="15">
        <v>467246.67</v>
      </c>
      <c r="K184" s="15">
        <v>93449.33</v>
      </c>
    </row>
    <row r="185" spans="1:11">
      <c r="A185" s="9">
        <f t="shared" si="2"/>
        <v>180</v>
      </c>
      <c r="B185" s="9" t="s">
        <v>892</v>
      </c>
      <c r="C185" s="9" t="s">
        <v>53</v>
      </c>
      <c r="D185" s="9" t="s">
        <v>2401</v>
      </c>
      <c r="E185" s="9" t="s">
        <v>1049</v>
      </c>
      <c r="F185" s="9" t="s">
        <v>2402</v>
      </c>
      <c r="G185" s="9" t="s">
        <v>1727</v>
      </c>
      <c r="H185" s="9" t="s">
        <v>2403</v>
      </c>
      <c r="I185" s="15">
        <v>1960000</v>
      </c>
      <c r="J185" s="15">
        <v>1633333.33</v>
      </c>
      <c r="K185" s="15">
        <v>326666.67</v>
      </c>
    </row>
    <row r="186" spans="1:11">
      <c r="A186" s="9">
        <f t="shared" si="2"/>
        <v>181</v>
      </c>
      <c r="B186" s="9" t="s">
        <v>892</v>
      </c>
      <c r="C186" s="9" t="s">
        <v>255</v>
      </c>
      <c r="D186" s="9" t="s">
        <v>1052</v>
      </c>
      <c r="E186" s="9" t="s">
        <v>1028</v>
      </c>
      <c r="F186" s="9" t="s">
        <v>650</v>
      </c>
      <c r="G186" s="9" t="s">
        <v>651</v>
      </c>
      <c r="H186" s="9" t="s">
        <v>652</v>
      </c>
      <c r="I186" s="15">
        <v>400000</v>
      </c>
      <c r="J186" s="15">
        <v>0</v>
      </c>
      <c r="K186" s="15">
        <v>66666.67</v>
      </c>
    </row>
    <row r="187" spans="1:11">
      <c r="A187" s="9">
        <f t="shared" si="2"/>
        <v>182</v>
      </c>
      <c r="B187" s="9" t="s">
        <v>892</v>
      </c>
      <c r="C187" s="9" t="s">
        <v>53</v>
      </c>
      <c r="D187" s="9" t="s">
        <v>76</v>
      </c>
      <c r="E187" s="9" t="s">
        <v>1034</v>
      </c>
      <c r="F187" s="9" t="s">
        <v>2267</v>
      </c>
      <c r="G187" s="9" t="s">
        <v>2268</v>
      </c>
      <c r="H187" s="9" t="s">
        <v>2269</v>
      </c>
      <c r="I187" s="15">
        <v>879413</v>
      </c>
      <c r="J187" s="15">
        <v>732844.17</v>
      </c>
      <c r="K187" s="15">
        <v>146568.82999999999</v>
      </c>
    </row>
    <row r="188" spans="1:11">
      <c r="A188" s="9">
        <f t="shared" si="2"/>
        <v>183</v>
      </c>
      <c r="B188" s="9" t="s">
        <v>892</v>
      </c>
      <c r="C188" s="9" t="s">
        <v>255</v>
      </c>
      <c r="D188" s="9" t="s">
        <v>1053</v>
      </c>
      <c r="E188" s="9" t="s">
        <v>1034</v>
      </c>
      <c r="F188" s="9" t="s">
        <v>2402</v>
      </c>
      <c r="G188" s="9" t="s">
        <v>1727</v>
      </c>
      <c r="H188" s="9" t="s">
        <v>2403</v>
      </c>
      <c r="I188" s="15">
        <v>960000</v>
      </c>
      <c r="J188" s="15">
        <v>0</v>
      </c>
      <c r="K188" s="15">
        <v>160000</v>
      </c>
    </row>
    <row r="189" spans="1:11">
      <c r="A189" s="9">
        <f t="shared" si="2"/>
        <v>184</v>
      </c>
      <c r="B189" s="9" t="s">
        <v>1036</v>
      </c>
      <c r="C189" s="9" t="s">
        <v>53</v>
      </c>
      <c r="D189" s="9" t="s">
        <v>1228</v>
      </c>
      <c r="E189" s="9" t="s">
        <v>1051</v>
      </c>
      <c r="F189" s="9" t="s">
        <v>2402</v>
      </c>
      <c r="G189" s="9" t="s">
        <v>1727</v>
      </c>
      <c r="H189" s="9" t="s">
        <v>2403</v>
      </c>
      <c r="I189" s="15">
        <v>1960000</v>
      </c>
      <c r="J189" s="15">
        <v>1633333.33</v>
      </c>
      <c r="K189" s="15">
        <v>326666.67</v>
      </c>
    </row>
    <row r="190" spans="1:11">
      <c r="A190" s="9">
        <f t="shared" si="2"/>
        <v>185</v>
      </c>
      <c r="B190" s="9" t="s">
        <v>1036</v>
      </c>
      <c r="C190" s="9" t="s">
        <v>53</v>
      </c>
      <c r="D190" s="9" t="s">
        <v>2404</v>
      </c>
      <c r="E190" s="9" t="s">
        <v>2405</v>
      </c>
      <c r="F190" s="9" t="s">
        <v>650</v>
      </c>
      <c r="G190" s="9" t="s">
        <v>651</v>
      </c>
      <c r="H190" s="9" t="s">
        <v>652</v>
      </c>
      <c r="I190" s="15">
        <v>475945</v>
      </c>
      <c r="J190" s="15">
        <v>396620.84</v>
      </c>
      <c r="K190" s="15">
        <v>79324.160000000003</v>
      </c>
    </row>
    <row r="191" spans="1:11">
      <c r="A191" s="9">
        <f t="shared" si="2"/>
        <v>186</v>
      </c>
      <c r="B191" s="9" t="s">
        <v>1036</v>
      </c>
      <c r="C191" s="9" t="s">
        <v>53</v>
      </c>
      <c r="D191" s="9" t="s">
        <v>2406</v>
      </c>
      <c r="E191" s="9" t="s">
        <v>2405</v>
      </c>
      <c r="F191" s="9" t="s">
        <v>650</v>
      </c>
      <c r="G191" s="9" t="s">
        <v>651</v>
      </c>
      <c r="H191" s="9" t="s">
        <v>652</v>
      </c>
      <c r="I191" s="15">
        <v>400000</v>
      </c>
      <c r="J191" s="15">
        <v>333333.33</v>
      </c>
      <c r="K191" s="15">
        <v>66666.67</v>
      </c>
    </row>
    <row r="192" spans="1:11">
      <c r="A192" s="9">
        <f t="shared" si="2"/>
        <v>187</v>
      </c>
      <c r="B192" s="9" t="s">
        <v>1036</v>
      </c>
      <c r="C192" s="9" t="s">
        <v>53</v>
      </c>
      <c r="D192" s="9" t="s">
        <v>518</v>
      </c>
      <c r="E192" s="9" t="s">
        <v>2407</v>
      </c>
      <c r="F192" s="9" t="s">
        <v>757</v>
      </c>
      <c r="G192" s="9" t="s">
        <v>758</v>
      </c>
      <c r="H192" s="9" t="s">
        <v>759</v>
      </c>
      <c r="I192" s="15">
        <v>662080</v>
      </c>
      <c r="J192" s="15">
        <v>551733.34</v>
      </c>
      <c r="K192" s="15">
        <v>110346.66</v>
      </c>
    </row>
    <row r="193" spans="1:11">
      <c r="A193" s="9">
        <f t="shared" si="2"/>
        <v>188</v>
      </c>
      <c r="B193" s="9" t="s">
        <v>1036</v>
      </c>
      <c r="C193" s="9" t="s">
        <v>53</v>
      </c>
      <c r="D193" s="9" t="s">
        <v>388</v>
      </c>
      <c r="E193" s="9" t="s">
        <v>1055</v>
      </c>
      <c r="F193" s="9" t="s">
        <v>2402</v>
      </c>
      <c r="G193" s="9" t="s">
        <v>1727</v>
      </c>
      <c r="H193" s="9" t="s">
        <v>2403</v>
      </c>
      <c r="I193" s="15">
        <v>2000000</v>
      </c>
      <c r="J193" s="15">
        <v>1666666.67</v>
      </c>
      <c r="K193" s="15">
        <v>333333.33</v>
      </c>
    </row>
    <row r="194" spans="1:11">
      <c r="A194" s="9">
        <f t="shared" si="2"/>
        <v>189</v>
      </c>
      <c r="B194" s="9" t="s">
        <v>1036</v>
      </c>
      <c r="C194" s="9" t="s">
        <v>255</v>
      </c>
      <c r="D194" s="9" t="s">
        <v>1134</v>
      </c>
      <c r="E194" s="9" t="s">
        <v>1065</v>
      </c>
      <c r="F194" s="9" t="s">
        <v>2402</v>
      </c>
      <c r="G194" s="9" t="s">
        <v>1727</v>
      </c>
      <c r="H194" s="9" t="s">
        <v>2403</v>
      </c>
      <c r="I194" s="15">
        <v>960000</v>
      </c>
      <c r="J194" s="15">
        <v>0</v>
      </c>
      <c r="K194" s="15">
        <v>160000</v>
      </c>
    </row>
    <row r="195" spans="1:11">
      <c r="A195" s="9">
        <f t="shared" si="2"/>
        <v>190</v>
      </c>
      <c r="B195" s="9" t="s">
        <v>1036</v>
      </c>
      <c r="C195" s="9" t="s">
        <v>53</v>
      </c>
      <c r="D195" s="9" t="s">
        <v>393</v>
      </c>
      <c r="E195" s="9" t="s">
        <v>2408</v>
      </c>
      <c r="F195" s="9" t="s">
        <v>757</v>
      </c>
      <c r="G195" s="9" t="s">
        <v>758</v>
      </c>
      <c r="H195" s="9" t="s">
        <v>759</v>
      </c>
      <c r="I195" s="15">
        <v>737300</v>
      </c>
      <c r="J195" s="15">
        <v>614416.67000000004</v>
      </c>
      <c r="K195" s="15">
        <v>122883.33</v>
      </c>
    </row>
    <row r="196" spans="1:11" ht="30">
      <c r="A196" s="9">
        <f t="shared" si="2"/>
        <v>191</v>
      </c>
      <c r="B196" s="9" t="s">
        <v>1036</v>
      </c>
      <c r="C196" s="9" t="s">
        <v>255</v>
      </c>
      <c r="D196" s="9" t="s">
        <v>1083</v>
      </c>
      <c r="E196" s="9" t="s">
        <v>1084</v>
      </c>
      <c r="F196" s="9" t="s">
        <v>2364</v>
      </c>
      <c r="G196" s="9" t="s">
        <v>2365</v>
      </c>
      <c r="H196" s="9" t="s">
        <v>2366</v>
      </c>
      <c r="I196" s="15">
        <v>98000</v>
      </c>
      <c r="J196" s="15">
        <v>0</v>
      </c>
      <c r="K196" s="15">
        <v>16333.33</v>
      </c>
    </row>
    <row r="197" spans="1:11">
      <c r="A197" s="9">
        <f t="shared" si="2"/>
        <v>192</v>
      </c>
      <c r="B197" s="9" t="s">
        <v>1036</v>
      </c>
      <c r="C197" s="9" t="s">
        <v>53</v>
      </c>
      <c r="D197" s="9" t="s">
        <v>2409</v>
      </c>
      <c r="E197" s="9" t="s">
        <v>1081</v>
      </c>
      <c r="F197" s="9" t="s">
        <v>2392</v>
      </c>
      <c r="G197" s="9" t="s">
        <v>314</v>
      </c>
      <c r="H197" s="9" t="s">
        <v>2393</v>
      </c>
      <c r="I197" s="15">
        <v>354900</v>
      </c>
      <c r="J197" s="15">
        <v>295750</v>
      </c>
      <c r="K197" s="15">
        <v>59150</v>
      </c>
    </row>
    <row r="198" spans="1:11" ht="30">
      <c r="A198" s="9">
        <f t="shared" si="2"/>
        <v>193</v>
      </c>
      <c r="B198" s="9" t="s">
        <v>1036</v>
      </c>
      <c r="C198" s="9" t="s">
        <v>53</v>
      </c>
      <c r="D198" s="9" t="s">
        <v>2410</v>
      </c>
      <c r="E198" s="9" t="s">
        <v>1086</v>
      </c>
      <c r="F198" s="9" t="s">
        <v>2364</v>
      </c>
      <c r="G198" s="9" t="s">
        <v>2365</v>
      </c>
      <c r="H198" s="9" t="s">
        <v>2366</v>
      </c>
      <c r="I198" s="15">
        <v>98000</v>
      </c>
      <c r="J198" s="15">
        <v>81666.67</v>
      </c>
      <c r="K198" s="15">
        <v>16333.33</v>
      </c>
    </row>
    <row r="199" spans="1:11">
      <c r="A199" s="9">
        <f t="shared" ref="A199:A262" si="3">A198+1</f>
        <v>194</v>
      </c>
      <c r="B199" s="9" t="s">
        <v>1036</v>
      </c>
      <c r="C199" s="9" t="s">
        <v>53</v>
      </c>
      <c r="D199" s="9" t="s">
        <v>132</v>
      </c>
      <c r="E199" s="9" t="s">
        <v>1090</v>
      </c>
      <c r="F199" s="9" t="s">
        <v>757</v>
      </c>
      <c r="G199" s="9" t="s">
        <v>758</v>
      </c>
      <c r="H199" s="9" t="s">
        <v>759</v>
      </c>
      <c r="I199" s="15">
        <v>731460</v>
      </c>
      <c r="J199" s="15">
        <v>609550</v>
      </c>
      <c r="K199" s="15">
        <v>121910</v>
      </c>
    </row>
    <row r="200" spans="1:11">
      <c r="A200" s="9">
        <f t="shared" si="3"/>
        <v>195</v>
      </c>
      <c r="B200" s="9" t="s">
        <v>1036</v>
      </c>
      <c r="C200" s="9" t="s">
        <v>255</v>
      </c>
      <c r="D200" s="9" t="s">
        <v>1135</v>
      </c>
      <c r="E200" s="9" t="s">
        <v>1092</v>
      </c>
      <c r="F200" s="9" t="s">
        <v>2402</v>
      </c>
      <c r="G200" s="9" t="s">
        <v>1727</v>
      </c>
      <c r="H200" s="9" t="s">
        <v>2403</v>
      </c>
      <c r="I200" s="15">
        <v>40000</v>
      </c>
      <c r="J200" s="15">
        <v>0</v>
      </c>
      <c r="K200" s="15">
        <v>6666.67</v>
      </c>
    </row>
    <row r="201" spans="1:11">
      <c r="A201" s="9">
        <f t="shared" si="3"/>
        <v>196</v>
      </c>
      <c r="B201" s="9" t="s">
        <v>1036</v>
      </c>
      <c r="C201" s="9" t="s">
        <v>255</v>
      </c>
      <c r="D201" s="9" t="s">
        <v>1099</v>
      </c>
      <c r="E201" s="9" t="s">
        <v>1100</v>
      </c>
      <c r="F201" s="9" t="s">
        <v>895</v>
      </c>
      <c r="G201" s="9" t="s">
        <v>896</v>
      </c>
      <c r="H201" s="9" t="s">
        <v>897</v>
      </c>
      <c r="I201" s="15">
        <v>980000</v>
      </c>
      <c r="J201" s="15">
        <v>0</v>
      </c>
      <c r="K201" s="15">
        <v>163333.32999999999</v>
      </c>
    </row>
    <row r="202" spans="1:11">
      <c r="A202" s="9">
        <f t="shared" si="3"/>
        <v>197</v>
      </c>
      <c r="B202" s="9" t="s">
        <v>1036</v>
      </c>
      <c r="C202" s="9" t="s">
        <v>53</v>
      </c>
      <c r="D202" s="9" t="s">
        <v>434</v>
      </c>
      <c r="E202" s="9" t="s">
        <v>2411</v>
      </c>
      <c r="F202" s="9" t="s">
        <v>650</v>
      </c>
      <c r="G202" s="9" t="s">
        <v>651</v>
      </c>
      <c r="H202" s="9" t="s">
        <v>652</v>
      </c>
      <c r="I202" s="15">
        <v>176760</v>
      </c>
      <c r="J202" s="15">
        <v>147300</v>
      </c>
      <c r="K202" s="15">
        <v>29460</v>
      </c>
    </row>
    <row r="203" spans="1:11">
      <c r="A203" s="9">
        <f t="shared" si="3"/>
        <v>198</v>
      </c>
      <c r="B203" s="9" t="s">
        <v>1036</v>
      </c>
      <c r="C203" s="9" t="s">
        <v>255</v>
      </c>
      <c r="D203" s="9" t="s">
        <v>1101</v>
      </c>
      <c r="E203" s="9" t="s">
        <v>1095</v>
      </c>
      <c r="F203" s="9" t="s">
        <v>895</v>
      </c>
      <c r="G203" s="9" t="s">
        <v>896</v>
      </c>
      <c r="H203" s="9" t="s">
        <v>897</v>
      </c>
      <c r="I203" s="15">
        <v>980000</v>
      </c>
      <c r="J203" s="15">
        <v>0</v>
      </c>
      <c r="K203" s="15">
        <v>163333.32999999999</v>
      </c>
    </row>
    <row r="204" spans="1:11">
      <c r="A204" s="9">
        <f t="shared" si="3"/>
        <v>199</v>
      </c>
      <c r="B204" s="9" t="s">
        <v>1036</v>
      </c>
      <c r="C204" s="9" t="s">
        <v>53</v>
      </c>
      <c r="D204" s="9" t="s">
        <v>1984</v>
      </c>
      <c r="E204" s="9" t="s">
        <v>1103</v>
      </c>
      <c r="F204" s="9" t="s">
        <v>895</v>
      </c>
      <c r="G204" s="9" t="s">
        <v>896</v>
      </c>
      <c r="H204" s="9" t="s">
        <v>897</v>
      </c>
      <c r="I204" s="15">
        <v>1960000</v>
      </c>
      <c r="J204" s="15">
        <v>1633333.33</v>
      </c>
      <c r="K204" s="15">
        <v>326666.67</v>
      </c>
    </row>
    <row r="205" spans="1:11">
      <c r="A205" s="9">
        <f t="shared" si="3"/>
        <v>200</v>
      </c>
      <c r="B205" s="9" t="s">
        <v>1036</v>
      </c>
      <c r="C205" s="9" t="s">
        <v>53</v>
      </c>
      <c r="D205" s="9" t="s">
        <v>459</v>
      </c>
      <c r="E205" s="9" t="s">
        <v>2412</v>
      </c>
      <c r="F205" s="9" t="s">
        <v>650</v>
      </c>
      <c r="G205" s="9" t="s">
        <v>651</v>
      </c>
      <c r="H205" s="9" t="s">
        <v>652</v>
      </c>
      <c r="I205" s="15">
        <v>25000</v>
      </c>
      <c r="J205" s="15">
        <v>20833.330000000002</v>
      </c>
      <c r="K205" s="15">
        <v>4166.67</v>
      </c>
    </row>
    <row r="206" spans="1:11">
      <c r="A206" s="9">
        <f t="shared" si="3"/>
        <v>201</v>
      </c>
      <c r="B206" s="9" t="s">
        <v>1036</v>
      </c>
      <c r="C206" s="9" t="s">
        <v>255</v>
      </c>
      <c r="D206" s="9" t="s">
        <v>1112</v>
      </c>
      <c r="E206" s="9" t="s">
        <v>1113</v>
      </c>
      <c r="F206" s="9" t="s">
        <v>2267</v>
      </c>
      <c r="G206" s="9" t="s">
        <v>2268</v>
      </c>
      <c r="H206" s="9" t="s">
        <v>2269</v>
      </c>
      <c r="I206" s="15">
        <v>815000</v>
      </c>
      <c r="J206" s="15">
        <v>0</v>
      </c>
      <c r="K206" s="15">
        <v>135833.32999999999</v>
      </c>
    </row>
    <row r="207" spans="1:11">
      <c r="A207" s="9">
        <f t="shared" si="3"/>
        <v>202</v>
      </c>
      <c r="B207" s="9" t="s">
        <v>1036</v>
      </c>
      <c r="C207" s="9" t="s">
        <v>53</v>
      </c>
      <c r="D207" s="9" t="s">
        <v>823</v>
      </c>
      <c r="E207" s="9" t="s">
        <v>1115</v>
      </c>
      <c r="F207" s="9" t="s">
        <v>2267</v>
      </c>
      <c r="G207" s="9" t="s">
        <v>2268</v>
      </c>
      <c r="H207" s="9" t="s">
        <v>2269</v>
      </c>
      <c r="I207" s="15">
        <v>826980.5</v>
      </c>
      <c r="J207" s="15">
        <v>689150.42</v>
      </c>
      <c r="K207" s="15">
        <v>137830.07999999999</v>
      </c>
    </row>
    <row r="208" spans="1:11">
      <c r="A208" s="9">
        <f t="shared" si="3"/>
        <v>203</v>
      </c>
      <c r="B208" s="9" t="s">
        <v>1036</v>
      </c>
      <c r="C208" s="9" t="s">
        <v>53</v>
      </c>
      <c r="D208" s="9" t="s">
        <v>2413</v>
      </c>
      <c r="E208" s="9" t="s">
        <v>1119</v>
      </c>
      <c r="F208" s="9" t="s">
        <v>757</v>
      </c>
      <c r="G208" s="9" t="s">
        <v>758</v>
      </c>
      <c r="H208" s="9" t="s">
        <v>759</v>
      </c>
      <c r="I208" s="15">
        <v>649100</v>
      </c>
      <c r="J208" s="15">
        <v>540916.67000000004</v>
      </c>
      <c r="K208" s="15">
        <v>108183.33</v>
      </c>
    </row>
    <row r="209" spans="1:11">
      <c r="A209" s="9">
        <f t="shared" si="3"/>
        <v>204</v>
      </c>
      <c r="B209" s="9" t="s">
        <v>1036</v>
      </c>
      <c r="C209" s="9" t="s">
        <v>255</v>
      </c>
      <c r="D209" s="9" t="s">
        <v>1129</v>
      </c>
      <c r="E209" s="9" t="s">
        <v>1126</v>
      </c>
      <c r="F209" s="9" t="s">
        <v>757</v>
      </c>
      <c r="G209" s="9" t="s">
        <v>758</v>
      </c>
      <c r="H209" s="9" t="s">
        <v>759</v>
      </c>
      <c r="I209" s="15">
        <v>170900</v>
      </c>
      <c r="J209" s="15">
        <v>0</v>
      </c>
      <c r="K209" s="15">
        <v>28483.33</v>
      </c>
    </row>
    <row r="210" spans="1:11">
      <c r="A210" s="9">
        <f t="shared" si="3"/>
        <v>205</v>
      </c>
      <c r="B210" s="9" t="s">
        <v>1036</v>
      </c>
      <c r="C210" s="9" t="s">
        <v>53</v>
      </c>
      <c r="D210" s="9" t="s">
        <v>2414</v>
      </c>
      <c r="E210" s="9" t="s">
        <v>1133</v>
      </c>
      <c r="F210" s="9" t="s">
        <v>2267</v>
      </c>
      <c r="G210" s="9" t="s">
        <v>2268</v>
      </c>
      <c r="H210" s="9" t="s">
        <v>2269</v>
      </c>
      <c r="I210" s="15">
        <v>704634.5</v>
      </c>
      <c r="J210" s="15">
        <v>587195.42000000004</v>
      </c>
      <c r="K210" s="15">
        <v>117439.08</v>
      </c>
    </row>
    <row r="211" spans="1:11">
      <c r="A211" s="9">
        <f t="shared" si="3"/>
        <v>206</v>
      </c>
      <c r="B211" s="9" t="s">
        <v>1036</v>
      </c>
      <c r="C211" s="9" t="s">
        <v>255</v>
      </c>
      <c r="D211" s="9" t="s">
        <v>1132</v>
      </c>
      <c r="E211" s="9" t="s">
        <v>1133</v>
      </c>
      <c r="F211" s="9" t="s">
        <v>2267</v>
      </c>
      <c r="G211" s="9" t="s">
        <v>2268</v>
      </c>
      <c r="H211" s="9" t="s">
        <v>2269</v>
      </c>
      <c r="I211" s="15">
        <v>103385</v>
      </c>
      <c r="J211" s="15">
        <v>0</v>
      </c>
      <c r="K211" s="15">
        <v>17230.830000000002</v>
      </c>
    </row>
    <row r="212" spans="1:11">
      <c r="A212" s="9">
        <f t="shared" si="3"/>
        <v>207</v>
      </c>
      <c r="B212" s="9" t="s">
        <v>1036</v>
      </c>
      <c r="C212" s="9" t="s">
        <v>53</v>
      </c>
      <c r="D212" s="9" t="s">
        <v>2160</v>
      </c>
      <c r="E212" s="9" t="s">
        <v>2415</v>
      </c>
      <c r="F212" s="9" t="s">
        <v>2402</v>
      </c>
      <c r="G212" s="9" t="s">
        <v>1727</v>
      </c>
      <c r="H212" s="9" t="s">
        <v>2403</v>
      </c>
      <c r="I212" s="15">
        <v>1000000</v>
      </c>
      <c r="J212" s="15">
        <v>833333.33</v>
      </c>
      <c r="K212" s="15">
        <v>166666.67000000001</v>
      </c>
    </row>
    <row r="213" spans="1:11">
      <c r="A213" s="9">
        <f t="shared" si="3"/>
        <v>208</v>
      </c>
      <c r="B213" s="9" t="s">
        <v>1036</v>
      </c>
      <c r="C213" s="9" t="s">
        <v>53</v>
      </c>
      <c r="D213" s="9" t="s">
        <v>468</v>
      </c>
      <c r="E213" s="9" t="s">
        <v>1141</v>
      </c>
      <c r="F213" s="9" t="s">
        <v>650</v>
      </c>
      <c r="G213" s="9" t="s">
        <v>651</v>
      </c>
      <c r="H213" s="9" t="s">
        <v>652</v>
      </c>
      <c r="I213" s="15">
        <v>554248</v>
      </c>
      <c r="J213" s="15">
        <v>461873.33</v>
      </c>
      <c r="K213" s="15">
        <v>92374.67</v>
      </c>
    </row>
    <row r="214" spans="1:11">
      <c r="A214" s="9">
        <f t="shared" si="3"/>
        <v>209</v>
      </c>
      <c r="B214" s="9" t="s">
        <v>1036</v>
      </c>
      <c r="C214" s="9" t="s">
        <v>53</v>
      </c>
      <c r="D214" s="9" t="s">
        <v>755</v>
      </c>
      <c r="E214" s="9" t="s">
        <v>2416</v>
      </c>
      <c r="F214" s="9" t="s">
        <v>2267</v>
      </c>
      <c r="G214" s="9" t="s">
        <v>2268</v>
      </c>
      <c r="H214" s="9" t="s">
        <v>2269</v>
      </c>
      <c r="I214" s="15">
        <v>756804</v>
      </c>
      <c r="J214" s="15">
        <v>630670</v>
      </c>
      <c r="K214" s="15">
        <v>126134</v>
      </c>
    </row>
    <row r="215" spans="1:11">
      <c r="A215" s="9">
        <f t="shared" si="3"/>
        <v>210</v>
      </c>
      <c r="B215" s="9" t="s">
        <v>1036</v>
      </c>
      <c r="C215" s="9" t="s">
        <v>255</v>
      </c>
      <c r="D215" s="9" t="s">
        <v>1152</v>
      </c>
      <c r="E215" s="9" t="s">
        <v>1153</v>
      </c>
      <c r="F215" s="9" t="s">
        <v>2267</v>
      </c>
      <c r="G215" s="9" t="s">
        <v>2268</v>
      </c>
      <c r="H215" s="9" t="s">
        <v>2269</v>
      </c>
      <c r="I215" s="15">
        <v>166581</v>
      </c>
      <c r="J215" s="15">
        <v>0</v>
      </c>
      <c r="K215" s="15">
        <v>27763.5</v>
      </c>
    </row>
    <row r="216" spans="1:11">
      <c r="A216" s="9">
        <f t="shared" si="3"/>
        <v>211</v>
      </c>
      <c r="B216" s="9" t="s">
        <v>1036</v>
      </c>
      <c r="C216" s="9" t="s">
        <v>255</v>
      </c>
      <c r="D216" s="9" t="s">
        <v>1158</v>
      </c>
      <c r="E216" s="9" t="s">
        <v>1159</v>
      </c>
      <c r="F216" s="9" t="s">
        <v>2417</v>
      </c>
      <c r="G216" s="9" t="s">
        <v>75</v>
      </c>
      <c r="H216" s="9" t="s">
        <v>2418</v>
      </c>
      <c r="I216" s="15">
        <v>110000</v>
      </c>
      <c r="J216" s="15">
        <v>0</v>
      </c>
      <c r="K216" s="15">
        <v>18333.330000000002</v>
      </c>
    </row>
    <row r="217" spans="1:11">
      <c r="A217" s="9">
        <f t="shared" si="3"/>
        <v>212</v>
      </c>
      <c r="B217" s="9" t="s">
        <v>1036</v>
      </c>
      <c r="C217" s="9" t="s">
        <v>53</v>
      </c>
      <c r="D217" s="9" t="s">
        <v>1296</v>
      </c>
      <c r="E217" s="9" t="s">
        <v>1150</v>
      </c>
      <c r="F217" s="9" t="s">
        <v>650</v>
      </c>
      <c r="G217" s="9" t="s">
        <v>651</v>
      </c>
      <c r="H217" s="9" t="s">
        <v>652</v>
      </c>
      <c r="I217" s="15">
        <v>436198</v>
      </c>
      <c r="J217" s="15">
        <v>363498.34</v>
      </c>
      <c r="K217" s="15">
        <v>72699.66</v>
      </c>
    </row>
    <row r="218" spans="1:11">
      <c r="A218" s="9">
        <f t="shared" si="3"/>
        <v>213</v>
      </c>
      <c r="B218" s="9" t="s">
        <v>1036</v>
      </c>
      <c r="C218" s="9" t="s">
        <v>53</v>
      </c>
      <c r="D218" s="9" t="s">
        <v>1937</v>
      </c>
      <c r="E218" s="9" t="s">
        <v>1161</v>
      </c>
      <c r="F218" s="9" t="s">
        <v>2267</v>
      </c>
      <c r="G218" s="9" t="s">
        <v>2268</v>
      </c>
      <c r="H218" s="9" t="s">
        <v>2269</v>
      </c>
      <c r="I218" s="15">
        <v>808137</v>
      </c>
      <c r="J218" s="15">
        <v>673447.5</v>
      </c>
      <c r="K218" s="15">
        <v>134689.5</v>
      </c>
    </row>
    <row r="219" spans="1:11">
      <c r="A219" s="9">
        <f t="shared" si="3"/>
        <v>214</v>
      </c>
      <c r="B219" s="9" t="s">
        <v>1036</v>
      </c>
      <c r="C219" s="9" t="s">
        <v>53</v>
      </c>
      <c r="D219" s="9" t="s">
        <v>987</v>
      </c>
      <c r="E219" s="9" t="s">
        <v>1161</v>
      </c>
      <c r="F219" s="9" t="s">
        <v>2392</v>
      </c>
      <c r="G219" s="9" t="s">
        <v>314</v>
      </c>
      <c r="H219" s="9" t="s">
        <v>2393</v>
      </c>
      <c r="I219" s="15">
        <v>360555</v>
      </c>
      <c r="J219" s="15">
        <v>300462.5</v>
      </c>
      <c r="K219" s="15">
        <v>60092.5</v>
      </c>
    </row>
    <row r="220" spans="1:11">
      <c r="A220" s="9">
        <f t="shared" si="3"/>
        <v>215</v>
      </c>
      <c r="B220" s="9" t="s">
        <v>1036</v>
      </c>
      <c r="C220" s="9" t="s">
        <v>255</v>
      </c>
      <c r="D220" s="9" t="s">
        <v>1160</v>
      </c>
      <c r="E220" s="9" t="s">
        <v>1161</v>
      </c>
      <c r="F220" s="9" t="s">
        <v>2417</v>
      </c>
      <c r="G220" s="9" t="s">
        <v>75</v>
      </c>
      <c r="H220" s="9" t="s">
        <v>2418</v>
      </c>
      <c r="I220" s="15">
        <v>1100000</v>
      </c>
      <c r="J220" s="15">
        <v>0</v>
      </c>
      <c r="K220" s="15">
        <v>183333.33</v>
      </c>
    </row>
    <row r="221" spans="1:11">
      <c r="A221" s="9">
        <f t="shared" si="3"/>
        <v>216</v>
      </c>
      <c r="B221" s="9" t="s">
        <v>1036</v>
      </c>
      <c r="C221" s="9" t="s">
        <v>255</v>
      </c>
      <c r="D221" s="9" t="s">
        <v>1162</v>
      </c>
      <c r="E221" s="9" t="s">
        <v>1163</v>
      </c>
      <c r="F221" s="9" t="s">
        <v>2267</v>
      </c>
      <c r="G221" s="9" t="s">
        <v>2268</v>
      </c>
      <c r="H221" s="9" t="s">
        <v>2269</v>
      </c>
      <c r="I221" s="15">
        <v>178561.5</v>
      </c>
      <c r="J221" s="15">
        <v>0</v>
      </c>
      <c r="K221" s="15">
        <v>29760.25</v>
      </c>
    </row>
    <row r="222" spans="1:11">
      <c r="A222" s="9">
        <f t="shared" si="3"/>
        <v>217</v>
      </c>
      <c r="B222" s="9" t="s">
        <v>1036</v>
      </c>
      <c r="C222" s="9" t="s">
        <v>53</v>
      </c>
      <c r="D222" s="9" t="s">
        <v>2419</v>
      </c>
      <c r="E222" s="9" t="s">
        <v>2420</v>
      </c>
      <c r="F222" s="9" t="s">
        <v>2417</v>
      </c>
      <c r="G222" s="9" t="s">
        <v>75</v>
      </c>
      <c r="H222" s="9" t="s">
        <v>2418</v>
      </c>
      <c r="I222" s="15">
        <v>110000</v>
      </c>
      <c r="J222" s="15">
        <v>91666.67</v>
      </c>
      <c r="K222" s="15">
        <v>18333.330000000002</v>
      </c>
    </row>
    <row r="223" spans="1:11">
      <c r="A223" s="9">
        <f t="shared" si="3"/>
        <v>218</v>
      </c>
      <c r="B223" s="9" t="s">
        <v>1036</v>
      </c>
      <c r="C223" s="9" t="s">
        <v>53</v>
      </c>
      <c r="D223" s="9" t="s">
        <v>537</v>
      </c>
      <c r="E223" s="9" t="s">
        <v>2420</v>
      </c>
      <c r="F223" s="9" t="s">
        <v>2417</v>
      </c>
      <c r="G223" s="9" t="s">
        <v>75</v>
      </c>
      <c r="H223" s="9" t="s">
        <v>2418</v>
      </c>
      <c r="I223" s="15">
        <v>1100000</v>
      </c>
      <c r="J223" s="15">
        <v>916666.67</v>
      </c>
      <c r="K223" s="15">
        <v>183333.33</v>
      </c>
    </row>
    <row r="224" spans="1:11">
      <c r="A224" s="9">
        <f t="shared" si="3"/>
        <v>219</v>
      </c>
      <c r="B224" s="9" t="s">
        <v>1036</v>
      </c>
      <c r="C224" s="9" t="s">
        <v>53</v>
      </c>
      <c r="D224" s="9" t="s">
        <v>1241</v>
      </c>
      <c r="E224" s="9" t="s">
        <v>2421</v>
      </c>
      <c r="F224" s="9" t="s">
        <v>2267</v>
      </c>
      <c r="G224" s="9" t="s">
        <v>2268</v>
      </c>
      <c r="H224" s="9" t="s">
        <v>2269</v>
      </c>
      <c r="I224" s="15">
        <v>803601</v>
      </c>
      <c r="J224" s="15">
        <v>669667.5</v>
      </c>
      <c r="K224" s="15">
        <v>133933.5</v>
      </c>
    </row>
    <row r="225" spans="1:11">
      <c r="A225" s="9">
        <f t="shared" si="3"/>
        <v>220</v>
      </c>
      <c r="B225" s="9" t="s">
        <v>1036</v>
      </c>
      <c r="C225" s="9" t="s">
        <v>255</v>
      </c>
      <c r="D225" s="9" t="s">
        <v>1576</v>
      </c>
      <c r="E225" s="9" t="s">
        <v>2422</v>
      </c>
      <c r="F225" s="9" t="s">
        <v>2267</v>
      </c>
      <c r="G225" s="9" t="s">
        <v>2268</v>
      </c>
      <c r="H225" s="9" t="s">
        <v>2269</v>
      </c>
      <c r="I225" s="15">
        <v>178561.5</v>
      </c>
      <c r="J225" s="15">
        <v>0</v>
      </c>
      <c r="K225" s="15">
        <v>29760.25</v>
      </c>
    </row>
    <row r="226" spans="1:11">
      <c r="A226" s="9">
        <f t="shared" si="3"/>
        <v>221</v>
      </c>
      <c r="B226" s="9" t="s">
        <v>1036</v>
      </c>
      <c r="C226" s="9" t="s">
        <v>53</v>
      </c>
      <c r="D226" s="9" t="s">
        <v>2423</v>
      </c>
      <c r="E226" s="9" t="s">
        <v>2424</v>
      </c>
      <c r="F226" s="9" t="s">
        <v>650</v>
      </c>
      <c r="G226" s="9" t="s">
        <v>651</v>
      </c>
      <c r="H226" s="9" t="s">
        <v>652</v>
      </c>
      <c r="I226" s="15">
        <v>234575</v>
      </c>
      <c r="J226" s="15">
        <v>195479.17</v>
      </c>
      <c r="K226" s="15">
        <v>39095.83</v>
      </c>
    </row>
    <row r="227" spans="1:11">
      <c r="A227" s="9">
        <f t="shared" si="3"/>
        <v>222</v>
      </c>
      <c r="B227" s="9" t="s">
        <v>1181</v>
      </c>
      <c r="C227" s="9" t="s">
        <v>255</v>
      </c>
      <c r="D227" s="9" t="s">
        <v>1195</v>
      </c>
      <c r="E227" s="9" t="s">
        <v>1192</v>
      </c>
      <c r="F227" s="9" t="s">
        <v>2417</v>
      </c>
      <c r="G227" s="9" t="s">
        <v>75</v>
      </c>
      <c r="H227" s="9" t="s">
        <v>2418</v>
      </c>
      <c r="I227" s="15">
        <v>2200000</v>
      </c>
      <c r="J227" s="15">
        <v>0</v>
      </c>
      <c r="K227" s="15">
        <v>366666.67</v>
      </c>
    </row>
    <row r="228" spans="1:11">
      <c r="A228" s="9">
        <f t="shared" si="3"/>
        <v>223</v>
      </c>
      <c r="B228" s="9" t="s">
        <v>1181</v>
      </c>
      <c r="C228" s="9" t="s">
        <v>53</v>
      </c>
      <c r="D228" s="9" t="s">
        <v>214</v>
      </c>
      <c r="E228" s="9" t="s">
        <v>2425</v>
      </c>
      <c r="F228" s="9" t="s">
        <v>2417</v>
      </c>
      <c r="G228" s="9" t="s">
        <v>75</v>
      </c>
      <c r="H228" s="9" t="s">
        <v>2418</v>
      </c>
      <c r="I228" s="15">
        <v>2200000</v>
      </c>
      <c r="J228" s="15">
        <v>1833333.33</v>
      </c>
      <c r="K228" s="15">
        <v>366666.67</v>
      </c>
    </row>
    <row r="229" spans="1:11">
      <c r="A229" s="9">
        <f t="shared" si="3"/>
        <v>224</v>
      </c>
      <c r="B229" s="9" t="s">
        <v>1181</v>
      </c>
      <c r="C229" s="9" t="s">
        <v>255</v>
      </c>
      <c r="D229" s="9" t="s">
        <v>1202</v>
      </c>
      <c r="E229" s="9" t="s">
        <v>1199</v>
      </c>
      <c r="F229" s="9" t="s">
        <v>2426</v>
      </c>
      <c r="G229" s="9" t="s">
        <v>2427</v>
      </c>
      <c r="H229" s="9" t="s">
        <v>2428</v>
      </c>
      <c r="I229" s="15">
        <v>800000</v>
      </c>
      <c r="J229" s="15">
        <v>0</v>
      </c>
      <c r="K229" s="15">
        <v>133333.32999999999</v>
      </c>
    </row>
    <row r="230" spans="1:11">
      <c r="A230" s="9">
        <f t="shared" si="3"/>
        <v>225</v>
      </c>
      <c r="B230" s="9" t="s">
        <v>1181</v>
      </c>
      <c r="C230" s="9" t="s">
        <v>53</v>
      </c>
      <c r="D230" s="9" t="s">
        <v>731</v>
      </c>
      <c r="E230" s="9" t="s">
        <v>2429</v>
      </c>
      <c r="F230" s="9" t="s">
        <v>2426</v>
      </c>
      <c r="G230" s="9" t="s">
        <v>2427</v>
      </c>
      <c r="H230" s="9" t="s">
        <v>2428</v>
      </c>
      <c r="I230" s="15">
        <v>800000</v>
      </c>
      <c r="J230" s="15">
        <v>666666.67000000004</v>
      </c>
      <c r="K230" s="15">
        <v>133333.32999999999</v>
      </c>
    </row>
    <row r="231" spans="1:11">
      <c r="A231" s="9">
        <f t="shared" si="3"/>
        <v>226</v>
      </c>
      <c r="B231" s="9" t="s">
        <v>1181</v>
      </c>
      <c r="C231" s="9" t="s">
        <v>255</v>
      </c>
      <c r="D231" s="9" t="s">
        <v>815</v>
      </c>
      <c r="E231" s="9" t="s">
        <v>1210</v>
      </c>
      <c r="F231" s="9" t="s">
        <v>2430</v>
      </c>
      <c r="G231" s="9" t="s">
        <v>2431</v>
      </c>
      <c r="H231" s="9" t="s">
        <v>2432</v>
      </c>
      <c r="I231" s="15">
        <v>1560000</v>
      </c>
      <c r="J231" s="15">
        <v>0</v>
      </c>
      <c r="K231" s="15">
        <v>260000</v>
      </c>
    </row>
    <row r="232" spans="1:11">
      <c r="A232" s="9">
        <f t="shared" si="3"/>
        <v>227</v>
      </c>
      <c r="B232" s="9" t="s">
        <v>1181</v>
      </c>
      <c r="C232" s="9" t="s">
        <v>53</v>
      </c>
      <c r="D232" s="9" t="s">
        <v>735</v>
      </c>
      <c r="E232" s="9" t="s">
        <v>2433</v>
      </c>
      <c r="F232" s="9" t="s">
        <v>2430</v>
      </c>
      <c r="G232" s="9" t="s">
        <v>2431</v>
      </c>
      <c r="H232" s="9" t="s">
        <v>2432</v>
      </c>
      <c r="I232" s="15">
        <v>1634692</v>
      </c>
      <c r="J232" s="15">
        <v>1362243.33</v>
      </c>
      <c r="K232" s="15">
        <v>272448.67</v>
      </c>
    </row>
    <row r="233" spans="1:11" ht="30">
      <c r="A233" s="9">
        <f t="shared" si="3"/>
        <v>228</v>
      </c>
      <c r="B233" s="9" t="s">
        <v>1181</v>
      </c>
      <c r="C233" s="9" t="s">
        <v>255</v>
      </c>
      <c r="D233" s="9" t="s">
        <v>122</v>
      </c>
      <c r="E233" s="9" t="s">
        <v>1220</v>
      </c>
      <c r="F233" s="9" t="s">
        <v>2362</v>
      </c>
      <c r="G233" s="9" t="s">
        <v>36</v>
      </c>
      <c r="H233" s="9" t="s">
        <v>2363</v>
      </c>
      <c r="I233" s="15">
        <v>117000</v>
      </c>
      <c r="J233" s="15">
        <v>0</v>
      </c>
      <c r="K233" s="15">
        <v>19500</v>
      </c>
    </row>
    <row r="234" spans="1:11">
      <c r="A234" s="9">
        <f t="shared" si="3"/>
        <v>229</v>
      </c>
      <c r="B234" s="9" t="s">
        <v>1181</v>
      </c>
      <c r="C234" s="9" t="s">
        <v>255</v>
      </c>
      <c r="D234" s="9" t="s">
        <v>1248</v>
      </c>
      <c r="E234" s="9" t="s">
        <v>1220</v>
      </c>
      <c r="F234" s="9" t="s">
        <v>2434</v>
      </c>
      <c r="G234" s="9" t="s">
        <v>75</v>
      </c>
      <c r="H234" s="9" t="s">
        <v>2435</v>
      </c>
      <c r="I234" s="15">
        <v>2200000</v>
      </c>
      <c r="J234" s="15">
        <v>0</v>
      </c>
      <c r="K234" s="15">
        <v>366666.67</v>
      </c>
    </row>
    <row r="235" spans="1:11" ht="30">
      <c r="A235" s="9">
        <f t="shared" si="3"/>
        <v>230</v>
      </c>
      <c r="B235" s="9" t="s">
        <v>1181</v>
      </c>
      <c r="C235" s="9" t="s">
        <v>53</v>
      </c>
      <c r="D235" s="9" t="s">
        <v>236</v>
      </c>
      <c r="E235" s="9" t="s">
        <v>1232</v>
      </c>
      <c r="F235" s="9" t="s">
        <v>2362</v>
      </c>
      <c r="G235" s="9" t="s">
        <v>36</v>
      </c>
      <c r="H235" s="9" t="s">
        <v>2363</v>
      </c>
      <c r="I235" s="15">
        <v>108030</v>
      </c>
      <c r="J235" s="15">
        <v>90025</v>
      </c>
      <c r="K235" s="15">
        <v>18005</v>
      </c>
    </row>
    <row r="236" spans="1:11">
      <c r="A236" s="9">
        <f t="shared" si="3"/>
        <v>231</v>
      </c>
      <c r="B236" s="9" t="s">
        <v>1181</v>
      </c>
      <c r="C236" s="9" t="s">
        <v>255</v>
      </c>
      <c r="D236" s="9" t="s">
        <v>820</v>
      </c>
      <c r="E236" s="9" t="s">
        <v>1242</v>
      </c>
      <c r="F236" s="9" t="s">
        <v>2267</v>
      </c>
      <c r="G236" s="9" t="s">
        <v>2268</v>
      </c>
      <c r="H236" s="9" t="s">
        <v>2269</v>
      </c>
      <c r="I236" s="15">
        <v>780000</v>
      </c>
      <c r="J236" s="15">
        <v>0</v>
      </c>
      <c r="K236" s="15">
        <v>130000</v>
      </c>
    </row>
    <row r="237" spans="1:11">
      <c r="A237" s="9">
        <f t="shared" si="3"/>
        <v>232</v>
      </c>
      <c r="B237" s="9" t="s">
        <v>1181</v>
      </c>
      <c r="C237" s="9" t="s">
        <v>53</v>
      </c>
      <c r="D237" s="9" t="s">
        <v>646</v>
      </c>
      <c r="E237" s="9" t="s">
        <v>1250</v>
      </c>
      <c r="F237" s="9" t="s">
        <v>2434</v>
      </c>
      <c r="G237" s="9" t="s">
        <v>75</v>
      </c>
      <c r="H237" s="9" t="s">
        <v>2435</v>
      </c>
      <c r="I237" s="15">
        <v>1944030</v>
      </c>
      <c r="J237" s="15">
        <v>1620025</v>
      </c>
      <c r="K237" s="15">
        <v>324005</v>
      </c>
    </row>
    <row r="238" spans="1:11">
      <c r="A238" s="9">
        <f t="shared" si="3"/>
        <v>233</v>
      </c>
      <c r="B238" s="9" t="s">
        <v>1181</v>
      </c>
      <c r="C238" s="9" t="s">
        <v>53</v>
      </c>
      <c r="D238" s="9" t="s">
        <v>683</v>
      </c>
      <c r="E238" s="9" t="s">
        <v>1252</v>
      </c>
      <c r="F238" s="9" t="s">
        <v>2267</v>
      </c>
      <c r="G238" s="9" t="s">
        <v>2268</v>
      </c>
      <c r="H238" s="9" t="s">
        <v>2269</v>
      </c>
      <c r="I238" s="15">
        <v>681018</v>
      </c>
      <c r="J238" s="15">
        <v>567515</v>
      </c>
      <c r="K238" s="15">
        <v>113503</v>
      </c>
    </row>
    <row r="239" spans="1:11">
      <c r="A239" s="9">
        <f t="shared" si="3"/>
        <v>234</v>
      </c>
      <c r="B239" s="9" t="s">
        <v>1181</v>
      </c>
      <c r="C239" s="9" t="s">
        <v>255</v>
      </c>
      <c r="D239" s="9" t="s">
        <v>71</v>
      </c>
      <c r="E239" s="9" t="s">
        <v>1257</v>
      </c>
      <c r="F239" s="9" t="s">
        <v>2267</v>
      </c>
      <c r="G239" s="9" t="s">
        <v>2268</v>
      </c>
      <c r="H239" s="9" t="s">
        <v>2269</v>
      </c>
      <c r="I239" s="15">
        <v>546000</v>
      </c>
      <c r="J239" s="15">
        <v>0</v>
      </c>
      <c r="K239" s="15">
        <v>91000</v>
      </c>
    </row>
    <row r="240" spans="1:11">
      <c r="A240" s="9">
        <f t="shared" si="3"/>
        <v>235</v>
      </c>
      <c r="B240" s="9" t="s">
        <v>1181</v>
      </c>
      <c r="C240" s="9" t="s">
        <v>255</v>
      </c>
      <c r="D240" s="9" t="s">
        <v>182</v>
      </c>
      <c r="E240" s="9" t="s">
        <v>1452</v>
      </c>
      <c r="F240" s="9" t="s">
        <v>2434</v>
      </c>
      <c r="G240" s="9" t="s">
        <v>75</v>
      </c>
      <c r="H240" s="9" t="s">
        <v>2435</v>
      </c>
      <c r="I240" s="15">
        <v>51000</v>
      </c>
      <c r="J240" s="15">
        <v>0</v>
      </c>
      <c r="K240" s="15">
        <v>8500</v>
      </c>
    </row>
    <row r="241" spans="1:11">
      <c r="A241" s="9">
        <f t="shared" si="3"/>
        <v>236</v>
      </c>
      <c r="B241" s="9" t="s">
        <v>1181</v>
      </c>
      <c r="C241" s="9" t="s">
        <v>53</v>
      </c>
      <c r="D241" s="9" t="s">
        <v>769</v>
      </c>
      <c r="E241" s="9" t="s">
        <v>1261</v>
      </c>
      <c r="F241" s="9" t="s">
        <v>2436</v>
      </c>
      <c r="G241" s="9" t="s">
        <v>2437</v>
      </c>
      <c r="H241" s="9" t="s">
        <v>2438</v>
      </c>
      <c r="I241" s="15">
        <v>826488</v>
      </c>
      <c r="J241" s="15">
        <v>688740</v>
      </c>
      <c r="K241" s="15">
        <v>137748</v>
      </c>
    </row>
    <row r="242" spans="1:11">
      <c r="A242" s="9">
        <f t="shared" si="3"/>
        <v>237</v>
      </c>
      <c r="B242" s="9" t="s">
        <v>1181</v>
      </c>
      <c r="C242" s="9" t="s">
        <v>53</v>
      </c>
      <c r="D242" s="9" t="s">
        <v>1375</v>
      </c>
      <c r="E242" s="9" t="s">
        <v>1261</v>
      </c>
      <c r="F242" s="9" t="s">
        <v>2436</v>
      </c>
      <c r="G242" s="9" t="s">
        <v>2437</v>
      </c>
      <c r="H242" s="9" t="s">
        <v>2438</v>
      </c>
      <c r="I242" s="15">
        <v>45000</v>
      </c>
      <c r="J242" s="15">
        <v>37500</v>
      </c>
      <c r="K242" s="15">
        <v>7500</v>
      </c>
    </row>
    <row r="243" spans="1:11">
      <c r="A243" s="9">
        <f t="shared" si="3"/>
        <v>238</v>
      </c>
      <c r="B243" s="9" t="s">
        <v>1181</v>
      </c>
      <c r="C243" s="9" t="s">
        <v>53</v>
      </c>
      <c r="D243" s="9" t="s">
        <v>354</v>
      </c>
      <c r="E243" s="9" t="s">
        <v>1272</v>
      </c>
      <c r="F243" s="9" t="s">
        <v>2439</v>
      </c>
      <c r="G243" s="9" t="s">
        <v>864</v>
      </c>
      <c r="H243" s="9" t="s">
        <v>2440</v>
      </c>
      <c r="I243" s="15">
        <v>420810</v>
      </c>
      <c r="J243" s="15">
        <v>350675</v>
      </c>
      <c r="K243" s="15">
        <v>70135</v>
      </c>
    </row>
    <row r="244" spans="1:11">
      <c r="A244" s="9">
        <f t="shared" si="3"/>
        <v>239</v>
      </c>
      <c r="B244" s="9" t="s">
        <v>1181</v>
      </c>
      <c r="C244" s="9" t="s">
        <v>53</v>
      </c>
      <c r="D244" s="9" t="s">
        <v>2241</v>
      </c>
      <c r="E244" s="9" t="s">
        <v>2441</v>
      </c>
      <c r="F244" s="9" t="s">
        <v>2267</v>
      </c>
      <c r="G244" s="9" t="s">
        <v>2268</v>
      </c>
      <c r="H244" s="9" t="s">
        <v>2269</v>
      </c>
      <c r="I244" s="15">
        <v>561520</v>
      </c>
      <c r="J244" s="15">
        <v>467933.33</v>
      </c>
      <c r="K244" s="15">
        <v>93586.67</v>
      </c>
    </row>
    <row r="245" spans="1:11">
      <c r="A245" s="9">
        <f t="shared" si="3"/>
        <v>240</v>
      </c>
      <c r="B245" s="9" t="s">
        <v>1287</v>
      </c>
      <c r="C245" s="9" t="s">
        <v>53</v>
      </c>
      <c r="D245" s="9" t="s">
        <v>707</v>
      </c>
      <c r="E245" s="9" t="s">
        <v>2442</v>
      </c>
      <c r="F245" s="9" t="s">
        <v>2434</v>
      </c>
      <c r="G245" s="9" t="s">
        <v>75</v>
      </c>
      <c r="H245" s="9" t="s">
        <v>2435</v>
      </c>
      <c r="I245" s="15">
        <v>51000</v>
      </c>
      <c r="J245" s="15">
        <v>42500</v>
      </c>
      <c r="K245" s="15">
        <v>8500</v>
      </c>
    </row>
    <row r="246" spans="1:11" ht="30">
      <c r="A246" s="9">
        <f t="shared" si="3"/>
        <v>241</v>
      </c>
      <c r="B246" s="9" t="s">
        <v>1287</v>
      </c>
      <c r="C246" s="9" t="s">
        <v>255</v>
      </c>
      <c r="D246" s="9" t="s">
        <v>107</v>
      </c>
      <c r="E246" s="9" t="s">
        <v>1289</v>
      </c>
      <c r="F246" s="9" t="s">
        <v>2362</v>
      </c>
      <c r="G246" s="9" t="s">
        <v>36</v>
      </c>
      <c r="H246" s="9" t="s">
        <v>2363</v>
      </c>
      <c r="I246" s="15">
        <v>780000</v>
      </c>
      <c r="J246" s="15">
        <v>0</v>
      </c>
      <c r="K246" s="15">
        <v>130000</v>
      </c>
    </row>
    <row r="247" spans="1:11" ht="30">
      <c r="A247" s="9">
        <f t="shared" si="3"/>
        <v>242</v>
      </c>
      <c r="B247" s="9" t="s">
        <v>1287</v>
      </c>
      <c r="C247" s="9" t="s">
        <v>53</v>
      </c>
      <c r="D247" s="9" t="s">
        <v>2244</v>
      </c>
      <c r="E247" s="9" t="s">
        <v>1294</v>
      </c>
      <c r="F247" s="9" t="s">
        <v>2362</v>
      </c>
      <c r="G247" s="9" t="s">
        <v>36</v>
      </c>
      <c r="H247" s="9" t="s">
        <v>2363</v>
      </c>
      <c r="I247" s="15">
        <v>593814</v>
      </c>
      <c r="J247" s="15">
        <v>494845</v>
      </c>
      <c r="K247" s="15">
        <v>98969</v>
      </c>
    </row>
    <row r="248" spans="1:11" ht="30">
      <c r="A248" s="9">
        <f t="shared" si="3"/>
        <v>243</v>
      </c>
      <c r="B248" s="9" t="s">
        <v>1287</v>
      </c>
      <c r="C248" s="9" t="s">
        <v>255</v>
      </c>
      <c r="D248" s="9" t="s">
        <v>72</v>
      </c>
      <c r="E248" s="9" t="s">
        <v>1297</v>
      </c>
      <c r="F248" s="9" t="s">
        <v>2443</v>
      </c>
      <c r="G248" s="9" t="s">
        <v>36</v>
      </c>
      <c r="H248" s="9" t="s">
        <v>2444</v>
      </c>
      <c r="I248" s="15">
        <v>89344</v>
      </c>
      <c r="J248" s="15">
        <v>0</v>
      </c>
      <c r="K248" s="15">
        <v>14890.67</v>
      </c>
    </row>
    <row r="249" spans="1:11" ht="30">
      <c r="A249" s="9">
        <f t="shared" si="3"/>
        <v>244</v>
      </c>
      <c r="B249" s="9" t="s">
        <v>1287</v>
      </c>
      <c r="C249" s="9" t="s">
        <v>255</v>
      </c>
      <c r="D249" s="9" t="s">
        <v>116</v>
      </c>
      <c r="E249" s="9" t="s">
        <v>1297</v>
      </c>
      <c r="F249" s="9" t="s">
        <v>2443</v>
      </c>
      <c r="G249" s="9" t="s">
        <v>36</v>
      </c>
      <c r="H249" s="9" t="s">
        <v>2444</v>
      </c>
      <c r="I249" s="15">
        <v>320000</v>
      </c>
      <c r="J249" s="15">
        <v>0</v>
      </c>
      <c r="K249" s="15">
        <v>53333.33</v>
      </c>
    </row>
    <row r="250" spans="1:11" ht="30">
      <c r="A250" s="9">
        <f t="shared" si="3"/>
        <v>245</v>
      </c>
      <c r="B250" s="9" t="s">
        <v>1287</v>
      </c>
      <c r="C250" s="9" t="s">
        <v>53</v>
      </c>
      <c r="D250" s="9" t="s">
        <v>137</v>
      </c>
      <c r="E250" s="9" t="s">
        <v>1304</v>
      </c>
      <c r="F250" s="9" t="s">
        <v>2443</v>
      </c>
      <c r="G250" s="9" t="s">
        <v>36</v>
      </c>
      <c r="H250" s="9" t="s">
        <v>2444</v>
      </c>
      <c r="I250" s="15">
        <v>419840</v>
      </c>
      <c r="J250" s="15">
        <v>349866.67</v>
      </c>
      <c r="K250" s="15">
        <v>69973.33</v>
      </c>
    </row>
    <row r="251" spans="1:11" ht="30">
      <c r="A251" s="9">
        <f t="shared" si="3"/>
        <v>246</v>
      </c>
      <c r="B251" s="9" t="s">
        <v>1287</v>
      </c>
      <c r="C251" s="9" t="s">
        <v>255</v>
      </c>
      <c r="D251" s="9" t="s">
        <v>198</v>
      </c>
      <c r="E251" s="9" t="s">
        <v>1304</v>
      </c>
      <c r="F251" s="9" t="s">
        <v>2443</v>
      </c>
      <c r="G251" s="9" t="s">
        <v>36</v>
      </c>
      <c r="H251" s="9" t="s">
        <v>2444</v>
      </c>
      <c r="I251" s="15">
        <v>100000</v>
      </c>
      <c r="J251" s="15">
        <v>0</v>
      </c>
      <c r="K251" s="15">
        <v>16666.669999999998</v>
      </c>
    </row>
    <row r="252" spans="1:11" ht="30">
      <c r="A252" s="9">
        <f t="shared" si="3"/>
        <v>247</v>
      </c>
      <c r="B252" s="9" t="s">
        <v>1287</v>
      </c>
      <c r="C252" s="9" t="s">
        <v>255</v>
      </c>
      <c r="D252" s="9" t="s">
        <v>203</v>
      </c>
      <c r="E252" s="9" t="s">
        <v>1304</v>
      </c>
      <c r="F252" s="9" t="s">
        <v>2443</v>
      </c>
      <c r="G252" s="9" t="s">
        <v>36</v>
      </c>
      <c r="H252" s="9" t="s">
        <v>2444</v>
      </c>
      <c r="I252" s="15">
        <v>680000</v>
      </c>
      <c r="J252" s="15">
        <v>0</v>
      </c>
      <c r="K252" s="15">
        <v>113333.33</v>
      </c>
    </row>
    <row r="253" spans="1:11" ht="30">
      <c r="A253" s="9">
        <f t="shared" si="3"/>
        <v>248</v>
      </c>
      <c r="B253" s="9" t="s">
        <v>1287</v>
      </c>
      <c r="C253" s="9" t="s">
        <v>53</v>
      </c>
      <c r="D253" s="9" t="s">
        <v>177</v>
      </c>
      <c r="E253" s="9" t="s">
        <v>1308</v>
      </c>
      <c r="F253" s="9" t="s">
        <v>2443</v>
      </c>
      <c r="G253" s="9" t="s">
        <v>36</v>
      </c>
      <c r="H253" s="9" t="s">
        <v>2444</v>
      </c>
      <c r="I253" s="15">
        <v>770378</v>
      </c>
      <c r="J253" s="15">
        <v>641981.67000000004</v>
      </c>
      <c r="K253" s="15">
        <v>128396.33</v>
      </c>
    </row>
    <row r="254" spans="1:11">
      <c r="A254" s="9">
        <f t="shared" si="3"/>
        <v>249</v>
      </c>
      <c r="B254" s="9" t="s">
        <v>1287</v>
      </c>
      <c r="C254" s="9" t="s">
        <v>255</v>
      </c>
      <c r="D254" s="9" t="s">
        <v>210</v>
      </c>
      <c r="E254" s="9" t="s">
        <v>1337</v>
      </c>
      <c r="F254" s="9" t="s">
        <v>2439</v>
      </c>
      <c r="G254" s="9" t="s">
        <v>864</v>
      </c>
      <c r="H254" s="9" t="s">
        <v>2440</v>
      </c>
      <c r="I254" s="15">
        <v>1139190</v>
      </c>
      <c r="J254" s="15">
        <v>0</v>
      </c>
      <c r="K254" s="15">
        <v>189865</v>
      </c>
    </row>
    <row r="255" spans="1:11">
      <c r="A255" s="9">
        <f t="shared" si="3"/>
        <v>250</v>
      </c>
      <c r="B255" s="9" t="s">
        <v>1287</v>
      </c>
      <c r="C255" s="9" t="s">
        <v>255</v>
      </c>
      <c r="D255" s="9" t="s">
        <v>212</v>
      </c>
      <c r="E255" s="9" t="s">
        <v>1327</v>
      </c>
      <c r="F255" s="9" t="s">
        <v>2445</v>
      </c>
      <c r="G255" s="9" t="s">
        <v>2446</v>
      </c>
      <c r="H255" s="9" t="s">
        <v>2447</v>
      </c>
      <c r="I255" s="15">
        <v>4000</v>
      </c>
      <c r="J255" s="15">
        <v>0</v>
      </c>
      <c r="K255" s="15">
        <v>666.67</v>
      </c>
    </row>
    <row r="256" spans="1:11">
      <c r="A256" s="9">
        <f t="shared" si="3"/>
        <v>251</v>
      </c>
      <c r="B256" s="9" t="s">
        <v>1287</v>
      </c>
      <c r="C256" s="9" t="s">
        <v>255</v>
      </c>
      <c r="D256" s="9" t="s">
        <v>224</v>
      </c>
      <c r="E256" s="9" t="s">
        <v>1362</v>
      </c>
      <c r="F256" s="9" t="s">
        <v>2439</v>
      </c>
      <c r="G256" s="9" t="s">
        <v>864</v>
      </c>
      <c r="H256" s="9" t="s">
        <v>2440</v>
      </c>
      <c r="I256" s="15">
        <v>1170000</v>
      </c>
      <c r="J256" s="15">
        <v>0</v>
      </c>
      <c r="K256" s="15">
        <v>195000</v>
      </c>
    </row>
    <row r="257" spans="1:11" ht="30">
      <c r="A257" s="9">
        <f t="shared" si="3"/>
        <v>252</v>
      </c>
      <c r="B257" s="9" t="s">
        <v>1287</v>
      </c>
      <c r="C257" s="9" t="s">
        <v>255</v>
      </c>
      <c r="D257" s="9" t="s">
        <v>341</v>
      </c>
      <c r="E257" s="9" t="s">
        <v>1336</v>
      </c>
      <c r="F257" s="9" t="s">
        <v>2362</v>
      </c>
      <c r="G257" s="9" t="s">
        <v>36</v>
      </c>
      <c r="H257" s="9" t="s">
        <v>2363</v>
      </c>
      <c r="I257" s="15">
        <v>383907</v>
      </c>
      <c r="J257" s="15">
        <v>0</v>
      </c>
      <c r="K257" s="15">
        <v>63984.5</v>
      </c>
    </row>
    <row r="258" spans="1:11">
      <c r="A258" s="9">
        <f t="shared" si="3"/>
        <v>253</v>
      </c>
      <c r="B258" s="9" t="s">
        <v>1287</v>
      </c>
      <c r="C258" s="9" t="s">
        <v>53</v>
      </c>
      <c r="D258" s="9" t="s">
        <v>260</v>
      </c>
      <c r="E258" s="9" t="s">
        <v>2448</v>
      </c>
      <c r="F258" s="9" t="s">
        <v>2439</v>
      </c>
      <c r="G258" s="9" t="s">
        <v>864</v>
      </c>
      <c r="H258" s="9" t="s">
        <v>2440</v>
      </c>
      <c r="I258" s="15">
        <v>712452</v>
      </c>
      <c r="J258" s="15">
        <v>593710</v>
      </c>
      <c r="K258" s="15">
        <v>118742</v>
      </c>
    </row>
    <row r="259" spans="1:11">
      <c r="A259" s="9">
        <f t="shared" si="3"/>
        <v>254</v>
      </c>
      <c r="B259" s="9" t="s">
        <v>1287</v>
      </c>
      <c r="C259" s="9" t="s">
        <v>53</v>
      </c>
      <c r="D259" s="9" t="s">
        <v>661</v>
      </c>
      <c r="E259" s="9" t="s">
        <v>2448</v>
      </c>
      <c r="F259" s="9" t="s">
        <v>2439</v>
      </c>
      <c r="G259" s="9" t="s">
        <v>864</v>
      </c>
      <c r="H259" s="9" t="s">
        <v>2440</v>
      </c>
      <c r="I259" s="15">
        <v>703560</v>
      </c>
      <c r="J259" s="15">
        <v>586300</v>
      </c>
      <c r="K259" s="15">
        <v>117260</v>
      </c>
    </row>
    <row r="260" spans="1:11">
      <c r="A260" s="9">
        <f t="shared" si="3"/>
        <v>255</v>
      </c>
      <c r="B260" s="9" t="s">
        <v>1287</v>
      </c>
      <c r="C260" s="9" t="s">
        <v>53</v>
      </c>
      <c r="D260" s="9" t="s">
        <v>439</v>
      </c>
      <c r="E260" s="9" t="s">
        <v>1343</v>
      </c>
      <c r="F260" s="9" t="s">
        <v>2445</v>
      </c>
      <c r="G260" s="9" t="s">
        <v>2446</v>
      </c>
      <c r="H260" s="9" t="s">
        <v>2447</v>
      </c>
      <c r="I260" s="15">
        <v>4000</v>
      </c>
      <c r="J260" s="15">
        <v>3333.33</v>
      </c>
      <c r="K260" s="15">
        <v>666.67</v>
      </c>
    </row>
    <row r="261" spans="1:11" ht="30">
      <c r="A261" s="9">
        <f t="shared" si="3"/>
        <v>256</v>
      </c>
      <c r="B261" s="9" t="s">
        <v>1287</v>
      </c>
      <c r="C261" s="9" t="s">
        <v>53</v>
      </c>
      <c r="D261" s="9" t="s">
        <v>785</v>
      </c>
      <c r="E261" s="9" t="s">
        <v>2449</v>
      </c>
      <c r="F261" s="9" t="s">
        <v>2362</v>
      </c>
      <c r="G261" s="9" t="s">
        <v>36</v>
      </c>
      <c r="H261" s="9" t="s">
        <v>2363</v>
      </c>
      <c r="I261" s="15">
        <v>776674</v>
      </c>
      <c r="J261" s="15">
        <v>647228.32999999996</v>
      </c>
      <c r="K261" s="15">
        <v>129445.67</v>
      </c>
    </row>
    <row r="262" spans="1:11">
      <c r="A262" s="9">
        <f t="shared" si="3"/>
        <v>257</v>
      </c>
      <c r="B262" s="9" t="s">
        <v>1287</v>
      </c>
      <c r="C262" s="9" t="s">
        <v>53</v>
      </c>
      <c r="D262" s="9" t="s">
        <v>306</v>
      </c>
      <c r="E262" s="9" t="s">
        <v>1357</v>
      </c>
      <c r="F262" s="9" t="s">
        <v>2439</v>
      </c>
      <c r="G262" s="9" t="s">
        <v>864</v>
      </c>
      <c r="H262" s="9" t="s">
        <v>2440</v>
      </c>
      <c r="I262" s="15">
        <v>843258</v>
      </c>
      <c r="J262" s="15">
        <v>702715</v>
      </c>
      <c r="K262" s="15">
        <v>140543</v>
      </c>
    </row>
    <row r="263" spans="1:11">
      <c r="A263" s="9">
        <f t="shared" ref="A263:A326" si="4">A262+1</f>
        <v>258</v>
      </c>
      <c r="B263" s="9" t="s">
        <v>1287</v>
      </c>
      <c r="C263" s="9" t="s">
        <v>255</v>
      </c>
      <c r="D263" s="9" t="s">
        <v>463</v>
      </c>
      <c r="E263" s="9" t="s">
        <v>1359</v>
      </c>
      <c r="F263" s="9" t="s">
        <v>2439</v>
      </c>
      <c r="G263" s="9" t="s">
        <v>864</v>
      </c>
      <c r="H263" s="9" t="s">
        <v>2440</v>
      </c>
      <c r="I263" s="15">
        <v>936000</v>
      </c>
      <c r="J263" s="15">
        <v>0</v>
      </c>
      <c r="K263" s="15">
        <v>156000</v>
      </c>
    </row>
    <row r="264" spans="1:11">
      <c r="A264" s="9">
        <f t="shared" si="4"/>
        <v>259</v>
      </c>
      <c r="B264" s="9" t="s">
        <v>1287</v>
      </c>
      <c r="C264" s="9" t="s">
        <v>53</v>
      </c>
      <c r="D264" s="9" t="s">
        <v>2292</v>
      </c>
      <c r="E264" s="9" t="s">
        <v>1361</v>
      </c>
      <c r="F264" s="9" t="s">
        <v>2439</v>
      </c>
      <c r="G264" s="9" t="s">
        <v>864</v>
      </c>
      <c r="H264" s="9" t="s">
        <v>2440</v>
      </c>
      <c r="I264" s="15">
        <v>932100</v>
      </c>
      <c r="J264" s="15">
        <v>776750</v>
      </c>
      <c r="K264" s="15">
        <v>155350</v>
      </c>
    </row>
    <row r="265" spans="1:11" ht="30">
      <c r="A265" s="9">
        <f t="shared" si="4"/>
        <v>260</v>
      </c>
      <c r="B265" s="9" t="s">
        <v>1287</v>
      </c>
      <c r="C265" s="9" t="s">
        <v>255</v>
      </c>
      <c r="D265" s="9" t="s">
        <v>465</v>
      </c>
      <c r="E265" s="9" t="s">
        <v>1367</v>
      </c>
      <c r="F265" s="9" t="s">
        <v>2362</v>
      </c>
      <c r="G265" s="9" t="s">
        <v>36</v>
      </c>
      <c r="H265" s="9" t="s">
        <v>2363</v>
      </c>
      <c r="I265" s="15">
        <v>400000</v>
      </c>
      <c r="J265" s="15">
        <v>0</v>
      </c>
      <c r="K265" s="15">
        <v>66666.67</v>
      </c>
    </row>
    <row r="266" spans="1:11">
      <c r="A266" s="9">
        <f t="shared" si="4"/>
        <v>261</v>
      </c>
      <c r="B266" s="9" t="s">
        <v>1287</v>
      </c>
      <c r="C266" s="9" t="s">
        <v>255</v>
      </c>
      <c r="D266" s="9" t="s">
        <v>1370</v>
      </c>
      <c r="E266" s="9" t="s">
        <v>1367</v>
      </c>
      <c r="F266" s="9" t="s">
        <v>1328</v>
      </c>
      <c r="G266" s="9" t="s">
        <v>1329</v>
      </c>
      <c r="H266" s="9" t="s">
        <v>1330</v>
      </c>
      <c r="I266" s="15">
        <v>300000</v>
      </c>
      <c r="J266" s="15">
        <v>0</v>
      </c>
      <c r="K266" s="15">
        <v>50000</v>
      </c>
    </row>
    <row r="267" spans="1:11">
      <c r="A267" s="9">
        <f t="shared" si="4"/>
        <v>262</v>
      </c>
      <c r="B267" s="9" t="s">
        <v>1287</v>
      </c>
      <c r="C267" s="9" t="s">
        <v>53</v>
      </c>
      <c r="D267" s="9" t="s">
        <v>1393</v>
      </c>
      <c r="E267" s="9" t="s">
        <v>2450</v>
      </c>
      <c r="F267" s="9" t="s">
        <v>1328</v>
      </c>
      <c r="G267" s="9" t="s">
        <v>1329</v>
      </c>
      <c r="H267" s="9" t="s">
        <v>1330</v>
      </c>
      <c r="I267" s="15">
        <v>783588</v>
      </c>
      <c r="J267" s="15">
        <v>652990</v>
      </c>
      <c r="K267" s="15">
        <v>130598</v>
      </c>
    </row>
    <row r="268" spans="1:11">
      <c r="A268" s="9">
        <f t="shared" si="4"/>
        <v>263</v>
      </c>
      <c r="B268" s="9" t="s">
        <v>1287</v>
      </c>
      <c r="C268" s="9" t="s">
        <v>255</v>
      </c>
      <c r="D268" s="9" t="s">
        <v>476</v>
      </c>
      <c r="E268" s="9" t="s">
        <v>1376</v>
      </c>
      <c r="F268" s="9" t="s">
        <v>2436</v>
      </c>
      <c r="G268" s="9" t="s">
        <v>2437</v>
      </c>
      <c r="H268" s="9" t="s">
        <v>2438</v>
      </c>
      <c r="I268" s="15">
        <v>960000</v>
      </c>
      <c r="J268" s="15">
        <v>0</v>
      </c>
      <c r="K268" s="15">
        <v>160000</v>
      </c>
    </row>
    <row r="269" spans="1:11">
      <c r="A269" s="9">
        <f t="shared" si="4"/>
        <v>264</v>
      </c>
      <c r="B269" s="9" t="s">
        <v>1287</v>
      </c>
      <c r="C269" s="9" t="s">
        <v>53</v>
      </c>
      <c r="D269" s="9" t="s">
        <v>2295</v>
      </c>
      <c r="E269" s="9" t="s">
        <v>1378</v>
      </c>
      <c r="F269" s="9" t="s">
        <v>2436</v>
      </c>
      <c r="G269" s="9" t="s">
        <v>2437</v>
      </c>
      <c r="H269" s="9" t="s">
        <v>2438</v>
      </c>
      <c r="I269" s="15">
        <v>992240</v>
      </c>
      <c r="J269" s="15">
        <v>826866.67</v>
      </c>
      <c r="K269" s="15">
        <v>165373.32999999999</v>
      </c>
    </row>
    <row r="270" spans="1:11">
      <c r="A270" s="9">
        <f t="shared" si="4"/>
        <v>265</v>
      </c>
      <c r="B270" s="9" t="s">
        <v>1287</v>
      </c>
      <c r="C270" s="9" t="s">
        <v>255</v>
      </c>
      <c r="D270" s="9" t="s">
        <v>768</v>
      </c>
      <c r="E270" s="9" t="s">
        <v>1395</v>
      </c>
      <c r="F270" s="9" t="s">
        <v>2267</v>
      </c>
      <c r="G270" s="9" t="s">
        <v>2268</v>
      </c>
      <c r="H270" s="9" t="s">
        <v>2269</v>
      </c>
      <c r="I270" s="15">
        <v>550000</v>
      </c>
      <c r="J270" s="15">
        <v>0</v>
      </c>
      <c r="K270" s="15">
        <v>91666.67</v>
      </c>
    </row>
    <row r="271" spans="1:11" ht="30">
      <c r="A271" s="9">
        <f t="shared" si="4"/>
        <v>266</v>
      </c>
      <c r="B271" s="9" t="s">
        <v>1287</v>
      </c>
      <c r="C271" s="9" t="s">
        <v>53</v>
      </c>
      <c r="D271" s="9" t="s">
        <v>2357</v>
      </c>
      <c r="E271" s="9" t="s">
        <v>1449</v>
      </c>
      <c r="F271" s="9" t="s">
        <v>2362</v>
      </c>
      <c r="G271" s="9" t="s">
        <v>36</v>
      </c>
      <c r="H271" s="9" t="s">
        <v>2363</v>
      </c>
      <c r="I271" s="15">
        <v>343440</v>
      </c>
      <c r="J271" s="15">
        <v>286200</v>
      </c>
      <c r="K271" s="15">
        <v>57240</v>
      </c>
    </row>
    <row r="272" spans="1:11">
      <c r="A272" s="9">
        <f t="shared" si="4"/>
        <v>267</v>
      </c>
      <c r="B272" s="9" t="s">
        <v>1287</v>
      </c>
      <c r="C272" s="9" t="s">
        <v>255</v>
      </c>
      <c r="D272" s="9" t="s">
        <v>481</v>
      </c>
      <c r="E272" s="9" t="s">
        <v>1449</v>
      </c>
      <c r="F272" s="9" t="s">
        <v>2439</v>
      </c>
      <c r="G272" s="9" t="s">
        <v>864</v>
      </c>
      <c r="H272" s="9" t="s">
        <v>2440</v>
      </c>
      <c r="I272" s="15">
        <v>800000</v>
      </c>
      <c r="J272" s="15">
        <v>0</v>
      </c>
      <c r="K272" s="15">
        <v>133333.32999999999</v>
      </c>
    </row>
    <row r="273" spans="1:11">
      <c r="A273" s="9">
        <f t="shared" si="4"/>
        <v>268</v>
      </c>
      <c r="B273" s="9" t="s">
        <v>1287</v>
      </c>
      <c r="C273" s="9" t="s">
        <v>255</v>
      </c>
      <c r="D273" s="9" t="s">
        <v>1400</v>
      </c>
      <c r="E273" s="9" t="s">
        <v>1398</v>
      </c>
      <c r="F273" s="9" t="s">
        <v>2267</v>
      </c>
      <c r="G273" s="9" t="s">
        <v>2268</v>
      </c>
      <c r="H273" s="9" t="s">
        <v>2269</v>
      </c>
      <c r="I273" s="15">
        <v>250000</v>
      </c>
      <c r="J273" s="15">
        <v>0</v>
      </c>
      <c r="K273" s="15">
        <v>41666.67</v>
      </c>
    </row>
    <row r="274" spans="1:11">
      <c r="A274" s="9">
        <f t="shared" si="4"/>
        <v>269</v>
      </c>
      <c r="B274" s="9" t="s">
        <v>1287</v>
      </c>
      <c r="C274" s="9" t="s">
        <v>53</v>
      </c>
      <c r="D274" s="9" t="s">
        <v>323</v>
      </c>
      <c r="E274" s="9" t="s">
        <v>1402</v>
      </c>
      <c r="F274" s="9" t="s">
        <v>2267</v>
      </c>
      <c r="G274" s="9" t="s">
        <v>2268</v>
      </c>
      <c r="H274" s="9" t="s">
        <v>2269</v>
      </c>
      <c r="I274" s="15">
        <v>842400</v>
      </c>
      <c r="J274" s="15">
        <v>702000</v>
      </c>
      <c r="K274" s="15">
        <v>140400</v>
      </c>
    </row>
    <row r="275" spans="1:11">
      <c r="A275" s="9">
        <f t="shared" si="4"/>
        <v>270</v>
      </c>
      <c r="B275" s="9" t="s">
        <v>1287</v>
      </c>
      <c r="C275" s="9" t="s">
        <v>255</v>
      </c>
      <c r="D275" s="9" t="s">
        <v>1433</v>
      </c>
      <c r="E275" s="9" t="s">
        <v>1414</v>
      </c>
      <c r="F275" s="9" t="s">
        <v>1328</v>
      </c>
      <c r="G275" s="9" t="s">
        <v>1329</v>
      </c>
      <c r="H275" s="9" t="s">
        <v>1330</v>
      </c>
      <c r="I275" s="15">
        <v>296412</v>
      </c>
      <c r="J275" s="15">
        <v>0</v>
      </c>
      <c r="K275" s="15">
        <v>49402</v>
      </c>
    </row>
    <row r="276" spans="1:11">
      <c r="A276" s="9">
        <f t="shared" si="4"/>
        <v>271</v>
      </c>
      <c r="B276" s="9" t="s">
        <v>1287</v>
      </c>
      <c r="C276" s="9" t="s">
        <v>255</v>
      </c>
      <c r="D276" s="9" t="s">
        <v>1013</v>
      </c>
      <c r="E276" s="9" t="s">
        <v>1428</v>
      </c>
      <c r="F276" s="9" t="s">
        <v>1328</v>
      </c>
      <c r="G276" s="9" t="s">
        <v>1329</v>
      </c>
      <c r="H276" s="9" t="s">
        <v>1330</v>
      </c>
      <c r="I276" s="15">
        <v>500000</v>
      </c>
      <c r="J276" s="15">
        <v>0</v>
      </c>
      <c r="K276" s="15">
        <v>83333.33</v>
      </c>
    </row>
    <row r="277" spans="1:11">
      <c r="A277" s="9">
        <f t="shared" si="4"/>
        <v>272</v>
      </c>
      <c r="B277" s="9" t="s">
        <v>1287</v>
      </c>
      <c r="C277" s="9" t="s">
        <v>53</v>
      </c>
      <c r="D277" s="9" t="s">
        <v>2300</v>
      </c>
      <c r="E277" s="9" t="s">
        <v>2451</v>
      </c>
      <c r="F277" s="9" t="s">
        <v>1328</v>
      </c>
      <c r="G277" s="9" t="s">
        <v>1329</v>
      </c>
      <c r="H277" s="9" t="s">
        <v>1330</v>
      </c>
      <c r="I277" s="15">
        <v>899040</v>
      </c>
      <c r="J277" s="15">
        <v>749200</v>
      </c>
      <c r="K277" s="15">
        <v>149840</v>
      </c>
    </row>
    <row r="278" spans="1:11">
      <c r="A278" s="9">
        <f t="shared" si="4"/>
        <v>273</v>
      </c>
      <c r="B278" s="9" t="s">
        <v>1287</v>
      </c>
      <c r="C278" s="9" t="s">
        <v>255</v>
      </c>
      <c r="D278" s="9" t="s">
        <v>1052</v>
      </c>
      <c r="E278" s="9" t="s">
        <v>1435</v>
      </c>
      <c r="F278" s="9" t="s">
        <v>2436</v>
      </c>
      <c r="G278" s="9" t="s">
        <v>2437</v>
      </c>
      <c r="H278" s="9" t="s">
        <v>2438</v>
      </c>
      <c r="I278" s="15">
        <v>800000</v>
      </c>
      <c r="J278" s="15">
        <v>0</v>
      </c>
      <c r="K278" s="15">
        <v>133333.32999999999</v>
      </c>
    </row>
    <row r="279" spans="1:11">
      <c r="A279" s="9">
        <f t="shared" si="4"/>
        <v>274</v>
      </c>
      <c r="B279" s="9" t="s">
        <v>1287</v>
      </c>
      <c r="C279" s="9" t="s">
        <v>255</v>
      </c>
      <c r="D279" s="9" t="s">
        <v>1053</v>
      </c>
      <c r="E279" s="9" t="s">
        <v>1438</v>
      </c>
      <c r="F279" s="9" t="s">
        <v>2439</v>
      </c>
      <c r="G279" s="9" t="s">
        <v>864</v>
      </c>
      <c r="H279" s="9" t="s">
        <v>2440</v>
      </c>
      <c r="I279" s="15">
        <v>550000</v>
      </c>
      <c r="J279" s="15">
        <v>0</v>
      </c>
      <c r="K279" s="15">
        <v>91666.67</v>
      </c>
    </row>
    <row r="280" spans="1:11">
      <c r="A280" s="9">
        <f t="shared" si="4"/>
        <v>275</v>
      </c>
      <c r="B280" s="9" t="s">
        <v>1287</v>
      </c>
      <c r="C280" s="9" t="s">
        <v>255</v>
      </c>
      <c r="D280" s="9" t="s">
        <v>1134</v>
      </c>
      <c r="E280" s="9" t="s">
        <v>1445</v>
      </c>
      <c r="F280" s="9" t="s">
        <v>2439</v>
      </c>
      <c r="G280" s="9" t="s">
        <v>864</v>
      </c>
      <c r="H280" s="9" t="s">
        <v>2440</v>
      </c>
      <c r="I280" s="15">
        <v>250000</v>
      </c>
      <c r="J280" s="15">
        <v>0</v>
      </c>
      <c r="K280" s="15">
        <v>41666.67</v>
      </c>
    </row>
    <row r="281" spans="1:11">
      <c r="A281" s="9">
        <f t="shared" si="4"/>
        <v>276</v>
      </c>
      <c r="B281" s="9" t="s">
        <v>1287</v>
      </c>
      <c r="C281" s="9" t="s">
        <v>53</v>
      </c>
      <c r="D281" s="9" t="s">
        <v>1933</v>
      </c>
      <c r="E281" s="9" t="s">
        <v>2452</v>
      </c>
      <c r="F281" s="9" t="s">
        <v>2439</v>
      </c>
      <c r="G281" s="9" t="s">
        <v>864</v>
      </c>
      <c r="H281" s="9" t="s">
        <v>2440</v>
      </c>
      <c r="I281" s="15">
        <v>809440</v>
      </c>
      <c r="J281" s="15">
        <v>674533.33</v>
      </c>
      <c r="K281" s="15">
        <v>134906.67000000001</v>
      </c>
    </row>
    <row r="282" spans="1:11">
      <c r="A282" s="9">
        <f t="shared" si="4"/>
        <v>277</v>
      </c>
      <c r="B282" s="9" t="s">
        <v>1287</v>
      </c>
      <c r="C282" s="9" t="s">
        <v>53</v>
      </c>
      <c r="D282" s="9" t="s">
        <v>127</v>
      </c>
      <c r="E282" s="9" t="s">
        <v>1454</v>
      </c>
      <c r="F282" s="9" t="s">
        <v>2434</v>
      </c>
      <c r="G282" s="9" t="s">
        <v>75</v>
      </c>
      <c r="H282" s="9" t="s">
        <v>2435</v>
      </c>
      <c r="I282" s="15">
        <v>1017000</v>
      </c>
      <c r="J282" s="15">
        <v>847500</v>
      </c>
      <c r="K282" s="15">
        <v>169500</v>
      </c>
    </row>
    <row r="283" spans="1:11">
      <c r="A283" s="9">
        <f t="shared" si="4"/>
        <v>278</v>
      </c>
      <c r="B283" s="9" t="s">
        <v>1287</v>
      </c>
      <c r="C283" s="9" t="s">
        <v>53</v>
      </c>
      <c r="D283" s="9" t="s">
        <v>1216</v>
      </c>
      <c r="E283" s="9" t="s">
        <v>1458</v>
      </c>
      <c r="F283" s="9" t="s">
        <v>2436</v>
      </c>
      <c r="G283" s="9" t="s">
        <v>2437</v>
      </c>
      <c r="H283" s="9" t="s">
        <v>2438</v>
      </c>
      <c r="I283" s="15">
        <v>853160</v>
      </c>
      <c r="J283" s="15">
        <v>710966.67</v>
      </c>
      <c r="K283" s="15">
        <v>142193.32999999999</v>
      </c>
    </row>
    <row r="284" spans="1:11">
      <c r="A284" s="9">
        <f t="shared" si="4"/>
        <v>279</v>
      </c>
      <c r="B284" s="9" t="s">
        <v>1465</v>
      </c>
      <c r="C284" s="9" t="s">
        <v>182</v>
      </c>
      <c r="D284" s="9" t="s">
        <v>210</v>
      </c>
      <c r="E284" s="9" t="s">
        <v>1445</v>
      </c>
      <c r="F284" s="9" t="s">
        <v>74</v>
      </c>
      <c r="G284" s="9" t="s">
        <v>75</v>
      </c>
      <c r="H284" s="9" t="s">
        <v>38</v>
      </c>
      <c r="I284" s="15">
        <v>24800</v>
      </c>
      <c r="J284" s="15">
        <v>0</v>
      </c>
      <c r="K284" s="15">
        <v>4133.33</v>
      </c>
    </row>
    <row r="285" spans="1:11">
      <c r="A285" s="9">
        <f t="shared" si="4"/>
        <v>280</v>
      </c>
      <c r="B285" s="9" t="s">
        <v>1465</v>
      </c>
      <c r="C285" s="9" t="s">
        <v>53</v>
      </c>
      <c r="D285" s="9" t="s">
        <v>2379</v>
      </c>
      <c r="E285" s="9" t="s">
        <v>1467</v>
      </c>
      <c r="F285" s="9" t="s">
        <v>1328</v>
      </c>
      <c r="G285" s="9" t="s">
        <v>1329</v>
      </c>
      <c r="H285" s="9" t="s">
        <v>1330</v>
      </c>
      <c r="I285" s="15">
        <v>35228</v>
      </c>
      <c r="J285" s="15">
        <v>29356.67</v>
      </c>
      <c r="K285" s="15">
        <v>5871.33</v>
      </c>
    </row>
    <row r="286" spans="1:11" ht="30">
      <c r="A286" s="9">
        <f t="shared" si="4"/>
        <v>281</v>
      </c>
      <c r="B286" s="9" t="s">
        <v>1465</v>
      </c>
      <c r="C286" s="9" t="s">
        <v>255</v>
      </c>
      <c r="D286" s="9" t="s">
        <v>1083</v>
      </c>
      <c r="E286" s="9" t="s">
        <v>1467</v>
      </c>
      <c r="F286" s="9" t="s">
        <v>2362</v>
      </c>
      <c r="G286" s="9" t="s">
        <v>36</v>
      </c>
      <c r="H286" s="9" t="s">
        <v>2363</v>
      </c>
      <c r="I286" s="15">
        <v>353440</v>
      </c>
      <c r="J286" s="15">
        <v>0</v>
      </c>
      <c r="K286" s="15">
        <v>58906.67</v>
      </c>
    </row>
    <row r="287" spans="1:11">
      <c r="A287" s="9">
        <f t="shared" si="4"/>
        <v>282</v>
      </c>
      <c r="B287" s="9" t="s">
        <v>1465</v>
      </c>
      <c r="C287" s="9" t="s">
        <v>255</v>
      </c>
      <c r="D287" s="9" t="s">
        <v>1135</v>
      </c>
      <c r="E287" s="9" t="s">
        <v>1467</v>
      </c>
      <c r="F287" s="9" t="s">
        <v>2434</v>
      </c>
      <c r="G287" s="9" t="s">
        <v>75</v>
      </c>
      <c r="H287" s="9" t="s">
        <v>2435</v>
      </c>
      <c r="I287" s="15">
        <v>1498970</v>
      </c>
      <c r="J287" s="15">
        <v>0</v>
      </c>
      <c r="K287" s="15">
        <v>249828.33</v>
      </c>
    </row>
    <row r="288" spans="1:11" ht="30">
      <c r="A288" s="9">
        <f t="shared" si="4"/>
        <v>283</v>
      </c>
      <c r="B288" s="9" t="s">
        <v>1465</v>
      </c>
      <c r="C288" s="9" t="s">
        <v>53</v>
      </c>
      <c r="D288" s="9" t="s">
        <v>886</v>
      </c>
      <c r="E288" s="9" t="s">
        <v>2453</v>
      </c>
      <c r="F288" s="9" t="s">
        <v>2362</v>
      </c>
      <c r="G288" s="9" t="s">
        <v>36</v>
      </c>
      <c r="H288" s="9" t="s">
        <v>2363</v>
      </c>
      <c r="I288" s="15">
        <v>417134</v>
      </c>
      <c r="J288" s="15">
        <v>347611.67</v>
      </c>
      <c r="K288" s="15">
        <v>69522.33</v>
      </c>
    </row>
    <row r="289" spans="1:11">
      <c r="A289" s="9">
        <f t="shared" si="4"/>
        <v>284</v>
      </c>
      <c r="B289" s="9" t="s">
        <v>1465</v>
      </c>
      <c r="C289" s="9" t="s">
        <v>53</v>
      </c>
      <c r="D289" s="9" t="s">
        <v>1468</v>
      </c>
      <c r="E289" s="9" t="s">
        <v>1479</v>
      </c>
      <c r="F289" s="9" t="s">
        <v>2439</v>
      </c>
      <c r="G289" s="9" t="s">
        <v>864</v>
      </c>
      <c r="H289" s="9" t="s">
        <v>2440</v>
      </c>
      <c r="I289" s="15">
        <v>848946</v>
      </c>
      <c r="J289" s="15">
        <v>707455</v>
      </c>
      <c r="K289" s="15">
        <v>141491</v>
      </c>
    </row>
    <row r="290" spans="1:11">
      <c r="A290" s="9">
        <f t="shared" si="4"/>
        <v>285</v>
      </c>
      <c r="B290" s="9" t="s">
        <v>1465</v>
      </c>
      <c r="C290" s="9" t="s">
        <v>255</v>
      </c>
      <c r="D290" s="9" t="s">
        <v>1099</v>
      </c>
      <c r="E290" s="9" t="s">
        <v>1479</v>
      </c>
      <c r="F290" s="9" t="s">
        <v>2439</v>
      </c>
      <c r="G290" s="9" t="s">
        <v>864</v>
      </c>
      <c r="H290" s="9" t="s">
        <v>2440</v>
      </c>
      <c r="I290" s="15">
        <v>405434</v>
      </c>
      <c r="J290" s="15">
        <v>0</v>
      </c>
      <c r="K290" s="15">
        <v>67572.33</v>
      </c>
    </row>
    <row r="291" spans="1:11" ht="30">
      <c r="A291" s="9">
        <f t="shared" si="4"/>
        <v>286</v>
      </c>
      <c r="B291" s="9" t="s">
        <v>1465</v>
      </c>
      <c r="C291" s="9" t="s">
        <v>255</v>
      </c>
      <c r="D291" s="9" t="s">
        <v>1101</v>
      </c>
      <c r="E291" s="9" t="s">
        <v>1479</v>
      </c>
      <c r="F291" s="9" t="s">
        <v>2362</v>
      </c>
      <c r="G291" s="9" t="s">
        <v>36</v>
      </c>
      <c r="H291" s="9" t="s">
        <v>2363</v>
      </c>
      <c r="I291" s="15">
        <v>402866</v>
      </c>
      <c r="J291" s="15">
        <v>0</v>
      </c>
      <c r="K291" s="15">
        <v>67144.33</v>
      </c>
    </row>
    <row r="292" spans="1:11">
      <c r="A292" s="9">
        <f t="shared" si="4"/>
        <v>287</v>
      </c>
      <c r="B292" s="9" t="s">
        <v>1465</v>
      </c>
      <c r="C292" s="9" t="s">
        <v>255</v>
      </c>
      <c r="D292" s="9" t="s">
        <v>1112</v>
      </c>
      <c r="E292" s="9" t="s">
        <v>1479</v>
      </c>
      <c r="F292" s="9" t="s">
        <v>2436</v>
      </c>
      <c r="G292" s="9" t="s">
        <v>2437</v>
      </c>
      <c r="H292" s="9" t="s">
        <v>2438</v>
      </c>
      <c r="I292" s="15">
        <v>820000</v>
      </c>
      <c r="J292" s="15">
        <v>0</v>
      </c>
      <c r="K292" s="15">
        <v>136666.67000000001</v>
      </c>
    </row>
    <row r="293" spans="1:11">
      <c r="A293" s="9">
        <f t="shared" si="4"/>
        <v>288</v>
      </c>
      <c r="B293" s="9" t="s">
        <v>1465</v>
      </c>
      <c r="C293" s="9" t="s">
        <v>53</v>
      </c>
      <c r="D293" s="9" t="s">
        <v>653</v>
      </c>
      <c r="E293" s="9" t="s">
        <v>1483</v>
      </c>
      <c r="F293" s="9" t="s">
        <v>2434</v>
      </c>
      <c r="G293" s="9" t="s">
        <v>75</v>
      </c>
      <c r="H293" s="9" t="s">
        <v>2435</v>
      </c>
      <c r="I293" s="15">
        <v>1114745</v>
      </c>
      <c r="J293" s="15">
        <v>928954.17</v>
      </c>
      <c r="K293" s="15">
        <v>185790.83</v>
      </c>
    </row>
    <row r="294" spans="1:11">
      <c r="A294" s="9">
        <f t="shared" si="4"/>
        <v>289</v>
      </c>
      <c r="B294" s="9" t="s">
        <v>1465</v>
      </c>
      <c r="C294" s="9" t="s">
        <v>255</v>
      </c>
      <c r="D294" s="9" t="s">
        <v>1129</v>
      </c>
      <c r="E294" s="9" t="s">
        <v>1483</v>
      </c>
      <c r="F294" s="9" t="s">
        <v>2439</v>
      </c>
      <c r="G294" s="9" t="s">
        <v>864</v>
      </c>
      <c r="H294" s="9" t="s">
        <v>2440</v>
      </c>
      <c r="I294" s="15">
        <v>410000</v>
      </c>
      <c r="J294" s="15">
        <v>0</v>
      </c>
      <c r="K294" s="15">
        <v>68333.33</v>
      </c>
    </row>
    <row r="295" spans="1:11" ht="30">
      <c r="A295" s="9">
        <f t="shared" si="4"/>
        <v>290</v>
      </c>
      <c r="B295" s="9" t="s">
        <v>1465</v>
      </c>
      <c r="C295" s="9" t="s">
        <v>53</v>
      </c>
      <c r="D295" s="9" t="s">
        <v>1986</v>
      </c>
      <c r="E295" s="9" t="s">
        <v>1487</v>
      </c>
      <c r="F295" s="9" t="s">
        <v>2362</v>
      </c>
      <c r="G295" s="9" t="s">
        <v>36</v>
      </c>
      <c r="H295" s="9" t="s">
        <v>2363</v>
      </c>
      <c r="I295" s="15">
        <v>403112</v>
      </c>
      <c r="J295" s="15">
        <v>335926.67</v>
      </c>
      <c r="K295" s="15">
        <v>67185.33</v>
      </c>
    </row>
    <row r="296" spans="1:11">
      <c r="A296" s="9">
        <f t="shared" si="4"/>
        <v>291</v>
      </c>
      <c r="B296" s="9" t="s">
        <v>1465</v>
      </c>
      <c r="C296" s="9" t="s">
        <v>53</v>
      </c>
      <c r="D296" s="9" t="s">
        <v>681</v>
      </c>
      <c r="E296" s="9" t="s">
        <v>1539</v>
      </c>
      <c r="F296" s="9" t="s">
        <v>2434</v>
      </c>
      <c r="G296" s="9" t="s">
        <v>75</v>
      </c>
      <c r="H296" s="9" t="s">
        <v>2435</v>
      </c>
      <c r="I296" s="15">
        <v>1109208</v>
      </c>
      <c r="J296" s="15">
        <v>924340</v>
      </c>
      <c r="K296" s="15">
        <v>184868</v>
      </c>
    </row>
    <row r="297" spans="1:11">
      <c r="A297" s="9">
        <f t="shared" si="4"/>
        <v>292</v>
      </c>
      <c r="B297" s="9" t="s">
        <v>1465</v>
      </c>
      <c r="C297" s="9" t="s">
        <v>255</v>
      </c>
      <c r="D297" s="9" t="s">
        <v>1132</v>
      </c>
      <c r="E297" s="9" t="s">
        <v>1539</v>
      </c>
      <c r="F297" s="9" t="s">
        <v>2439</v>
      </c>
      <c r="G297" s="9" t="s">
        <v>864</v>
      </c>
      <c r="H297" s="9" t="s">
        <v>2440</v>
      </c>
      <c r="I297" s="15">
        <v>820000</v>
      </c>
      <c r="J297" s="15">
        <v>0</v>
      </c>
      <c r="K297" s="15">
        <v>136666.67000000001</v>
      </c>
    </row>
    <row r="298" spans="1:11">
      <c r="A298" s="9">
        <f t="shared" si="4"/>
        <v>293</v>
      </c>
      <c r="B298" s="9" t="s">
        <v>1465</v>
      </c>
      <c r="C298" s="9" t="s">
        <v>53</v>
      </c>
      <c r="D298" s="9" t="s">
        <v>679</v>
      </c>
      <c r="E298" s="9" t="s">
        <v>1499</v>
      </c>
      <c r="F298" s="9" t="s">
        <v>2436</v>
      </c>
      <c r="G298" s="9" t="s">
        <v>2437</v>
      </c>
      <c r="H298" s="9" t="s">
        <v>2438</v>
      </c>
      <c r="I298" s="15">
        <v>832546</v>
      </c>
      <c r="J298" s="15">
        <v>693788.33</v>
      </c>
      <c r="K298" s="15">
        <v>138757.67000000001</v>
      </c>
    </row>
    <row r="299" spans="1:11">
      <c r="A299" s="9">
        <f t="shared" si="4"/>
        <v>294</v>
      </c>
      <c r="B299" s="9" t="s">
        <v>1465</v>
      </c>
      <c r="C299" s="9" t="s">
        <v>255</v>
      </c>
      <c r="D299" s="9" t="s">
        <v>1152</v>
      </c>
      <c r="E299" s="9" t="s">
        <v>1504</v>
      </c>
      <c r="F299" s="9" t="s">
        <v>2434</v>
      </c>
      <c r="G299" s="9" t="s">
        <v>75</v>
      </c>
      <c r="H299" s="9" t="s">
        <v>2435</v>
      </c>
      <c r="I299" s="15">
        <v>255970</v>
      </c>
      <c r="J299" s="15">
        <v>0</v>
      </c>
      <c r="K299" s="15">
        <v>42661.67</v>
      </c>
    </row>
    <row r="300" spans="1:11">
      <c r="A300" s="9">
        <f t="shared" si="4"/>
        <v>295</v>
      </c>
      <c r="B300" s="9" t="s">
        <v>1465</v>
      </c>
      <c r="C300" s="9" t="s">
        <v>53</v>
      </c>
      <c r="D300" s="9" t="s">
        <v>1390</v>
      </c>
      <c r="E300" s="9" t="s">
        <v>1506</v>
      </c>
      <c r="F300" s="9" t="s">
        <v>2436</v>
      </c>
      <c r="G300" s="9" t="s">
        <v>2437</v>
      </c>
      <c r="H300" s="9" t="s">
        <v>2438</v>
      </c>
      <c r="I300" s="15">
        <v>45000</v>
      </c>
      <c r="J300" s="15">
        <v>37500</v>
      </c>
      <c r="K300" s="15">
        <v>7500</v>
      </c>
    </row>
    <row r="301" spans="1:11">
      <c r="A301" s="9">
        <f t="shared" si="4"/>
        <v>296</v>
      </c>
      <c r="B301" s="9" t="s">
        <v>1465</v>
      </c>
      <c r="C301" s="9" t="s">
        <v>53</v>
      </c>
      <c r="D301" s="9" t="s">
        <v>2306</v>
      </c>
      <c r="E301" s="9" t="s">
        <v>2454</v>
      </c>
      <c r="F301" s="9" t="s">
        <v>2439</v>
      </c>
      <c r="G301" s="9" t="s">
        <v>864</v>
      </c>
      <c r="H301" s="9" t="s">
        <v>2440</v>
      </c>
      <c r="I301" s="15">
        <v>820410</v>
      </c>
      <c r="J301" s="15">
        <v>683675</v>
      </c>
      <c r="K301" s="15">
        <v>136735</v>
      </c>
    </row>
    <row r="302" spans="1:11" ht="30">
      <c r="A302" s="9">
        <f t="shared" si="4"/>
        <v>297</v>
      </c>
      <c r="B302" s="9" t="s">
        <v>1465</v>
      </c>
      <c r="C302" s="9" t="s">
        <v>255</v>
      </c>
      <c r="D302" s="9" t="s">
        <v>1158</v>
      </c>
      <c r="E302" s="9" t="s">
        <v>1509</v>
      </c>
      <c r="F302" s="9" t="s">
        <v>2362</v>
      </c>
      <c r="G302" s="9" t="s">
        <v>36</v>
      </c>
      <c r="H302" s="9" t="s">
        <v>2363</v>
      </c>
      <c r="I302" s="15">
        <v>409754</v>
      </c>
      <c r="J302" s="15">
        <v>0</v>
      </c>
      <c r="K302" s="15">
        <v>68292.33</v>
      </c>
    </row>
    <row r="303" spans="1:11">
      <c r="A303" s="9">
        <f t="shared" si="4"/>
        <v>298</v>
      </c>
      <c r="B303" s="9" t="s">
        <v>1465</v>
      </c>
      <c r="C303" s="9" t="s">
        <v>53</v>
      </c>
      <c r="D303" s="9" t="s">
        <v>2309</v>
      </c>
      <c r="E303" s="9" t="s">
        <v>1485</v>
      </c>
      <c r="F303" s="9" t="s">
        <v>2434</v>
      </c>
      <c r="G303" s="9" t="s">
        <v>75</v>
      </c>
      <c r="H303" s="9" t="s">
        <v>2435</v>
      </c>
      <c r="I303" s="15">
        <v>1084800</v>
      </c>
      <c r="J303" s="15">
        <v>904000</v>
      </c>
      <c r="K303" s="15">
        <v>180800</v>
      </c>
    </row>
    <row r="304" spans="1:11">
      <c r="A304" s="9">
        <f t="shared" si="4"/>
        <v>299</v>
      </c>
      <c r="B304" s="9" t="s">
        <v>1465</v>
      </c>
      <c r="C304" s="9" t="s">
        <v>255</v>
      </c>
      <c r="D304" s="9" t="s">
        <v>1160</v>
      </c>
      <c r="E304" s="9" t="s">
        <v>1485</v>
      </c>
      <c r="F304" s="9" t="s">
        <v>650</v>
      </c>
      <c r="G304" s="9" t="s">
        <v>651</v>
      </c>
      <c r="H304" s="9" t="s">
        <v>652</v>
      </c>
      <c r="I304" s="15">
        <v>410000</v>
      </c>
      <c r="J304" s="15">
        <v>0</v>
      </c>
      <c r="K304" s="15">
        <v>68333.33</v>
      </c>
    </row>
    <row r="305" spans="1:11" ht="30">
      <c r="A305" s="9">
        <f t="shared" si="4"/>
        <v>300</v>
      </c>
      <c r="B305" s="9" t="s">
        <v>1465</v>
      </c>
      <c r="C305" s="9" t="s">
        <v>53</v>
      </c>
      <c r="D305" s="9" t="s">
        <v>340</v>
      </c>
      <c r="E305" s="9" t="s">
        <v>1513</v>
      </c>
      <c r="F305" s="9" t="s">
        <v>2362</v>
      </c>
      <c r="G305" s="9" t="s">
        <v>36</v>
      </c>
      <c r="H305" s="9" t="s">
        <v>2363</v>
      </c>
      <c r="I305" s="15">
        <v>416806</v>
      </c>
      <c r="J305" s="15">
        <v>347338.33</v>
      </c>
      <c r="K305" s="15">
        <v>69467.67</v>
      </c>
    </row>
    <row r="306" spans="1:11" ht="30">
      <c r="A306" s="9">
        <f t="shared" si="4"/>
        <v>301</v>
      </c>
      <c r="B306" s="9" t="s">
        <v>1465</v>
      </c>
      <c r="C306" s="9" t="s">
        <v>255</v>
      </c>
      <c r="D306" s="9" t="s">
        <v>1162</v>
      </c>
      <c r="E306" s="9" t="s">
        <v>1527</v>
      </c>
      <c r="F306" s="9" t="s">
        <v>2362</v>
      </c>
      <c r="G306" s="9" t="s">
        <v>36</v>
      </c>
      <c r="H306" s="9" t="s">
        <v>2363</v>
      </c>
      <c r="I306" s="15">
        <v>566948</v>
      </c>
      <c r="J306" s="15">
        <v>0</v>
      </c>
      <c r="K306" s="15">
        <v>94491.33</v>
      </c>
    </row>
    <row r="307" spans="1:11" ht="30">
      <c r="A307" s="9">
        <f t="shared" si="4"/>
        <v>302</v>
      </c>
      <c r="B307" s="9" t="s">
        <v>1465</v>
      </c>
      <c r="C307" s="9" t="s">
        <v>53</v>
      </c>
      <c r="D307" s="9" t="s">
        <v>2311</v>
      </c>
      <c r="E307" s="9" t="s">
        <v>1534</v>
      </c>
      <c r="F307" s="9" t="s">
        <v>2362</v>
      </c>
      <c r="G307" s="9" t="s">
        <v>36</v>
      </c>
      <c r="H307" s="9" t="s">
        <v>2363</v>
      </c>
      <c r="I307" s="15">
        <v>132102</v>
      </c>
      <c r="J307" s="15">
        <v>110085</v>
      </c>
      <c r="K307" s="15">
        <v>22017</v>
      </c>
    </row>
    <row r="308" spans="1:11">
      <c r="A308" s="9">
        <f t="shared" si="4"/>
        <v>303</v>
      </c>
      <c r="B308" s="9" t="s">
        <v>1465</v>
      </c>
      <c r="C308" s="9" t="s">
        <v>255</v>
      </c>
      <c r="D308" s="9" t="s">
        <v>1576</v>
      </c>
      <c r="E308" s="9" t="s">
        <v>1534</v>
      </c>
      <c r="F308" s="9" t="s">
        <v>2436</v>
      </c>
      <c r="G308" s="9" t="s">
        <v>2437</v>
      </c>
      <c r="H308" s="9" t="s">
        <v>2438</v>
      </c>
      <c r="I308" s="15">
        <v>820000</v>
      </c>
      <c r="J308" s="15">
        <v>0</v>
      </c>
      <c r="K308" s="15">
        <v>136666.67000000001</v>
      </c>
    </row>
    <row r="309" spans="1:11">
      <c r="A309" s="9">
        <f t="shared" si="4"/>
        <v>304</v>
      </c>
      <c r="B309" s="9" t="s">
        <v>1465</v>
      </c>
      <c r="C309" s="9" t="s">
        <v>53</v>
      </c>
      <c r="D309" s="9" t="s">
        <v>2316</v>
      </c>
      <c r="E309" s="9" t="s">
        <v>1511</v>
      </c>
      <c r="F309" s="9" t="s">
        <v>2439</v>
      </c>
      <c r="G309" s="9" t="s">
        <v>864</v>
      </c>
      <c r="H309" s="9" t="s">
        <v>2440</v>
      </c>
      <c r="I309" s="15">
        <v>820410</v>
      </c>
      <c r="J309" s="15">
        <v>683675</v>
      </c>
      <c r="K309" s="15">
        <v>136735</v>
      </c>
    </row>
    <row r="310" spans="1:11">
      <c r="A310" s="9">
        <f t="shared" si="4"/>
        <v>305</v>
      </c>
      <c r="B310" s="9" t="s">
        <v>1465</v>
      </c>
      <c r="C310" s="9" t="s">
        <v>53</v>
      </c>
      <c r="D310" s="9" t="s">
        <v>199</v>
      </c>
      <c r="E310" s="9" t="s">
        <v>1542</v>
      </c>
      <c r="F310" s="9" t="s">
        <v>2434</v>
      </c>
      <c r="G310" s="9" t="s">
        <v>75</v>
      </c>
      <c r="H310" s="9" t="s">
        <v>2435</v>
      </c>
      <c r="I310" s="15">
        <v>1124802</v>
      </c>
      <c r="J310" s="15">
        <v>937335</v>
      </c>
      <c r="K310" s="15">
        <v>187467</v>
      </c>
    </row>
    <row r="311" spans="1:11" ht="30">
      <c r="A311" s="9">
        <f t="shared" si="4"/>
        <v>306</v>
      </c>
      <c r="B311" s="9" t="s">
        <v>1465</v>
      </c>
      <c r="C311" s="9" t="s">
        <v>53</v>
      </c>
      <c r="D311" s="9" t="s">
        <v>797</v>
      </c>
      <c r="E311" s="9" t="s">
        <v>2455</v>
      </c>
      <c r="F311" s="9" t="s">
        <v>2362</v>
      </c>
      <c r="G311" s="9" t="s">
        <v>36</v>
      </c>
      <c r="H311" s="9" t="s">
        <v>2363</v>
      </c>
      <c r="I311" s="15">
        <v>448622</v>
      </c>
      <c r="J311" s="15">
        <v>373851.67</v>
      </c>
      <c r="K311" s="15">
        <v>74770.33</v>
      </c>
    </row>
    <row r="312" spans="1:11" ht="30">
      <c r="A312" s="9">
        <f t="shared" si="4"/>
        <v>307</v>
      </c>
      <c r="B312" s="9" t="s">
        <v>1465</v>
      </c>
      <c r="C312" s="9" t="s">
        <v>255</v>
      </c>
      <c r="D312" s="9" t="s">
        <v>1561</v>
      </c>
      <c r="E312" s="9" t="s">
        <v>1544</v>
      </c>
      <c r="F312" s="9" t="s">
        <v>2362</v>
      </c>
      <c r="G312" s="9" t="s">
        <v>36</v>
      </c>
      <c r="H312" s="9" t="s">
        <v>2363</v>
      </c>
      <c r="I312" s="15">
        <v>286224</v>
      </c>
      <c r="J312" s="15">
        <v>0</v>
      </c>
      <c r="K312" s="15">
        <v>47704</v>
      </c>
    </row>
    <row r="313" spans="1:11" ht="30">
      <c r="A313" s="9">
        <f t="shared" si="4"/>
        <v>308</v>
      </c>
      <c r="B313" s="9" t="s">
        <v>1465</v>
      </c>
      <c r="C313" s="9" t="s">
        <v>255</v>
      </c>
      <c r="D313" s="9" t="s">
        <v>1566</v>
      </c>
      <c r="E313" s="9" t="s">
        <v>1556</v>
      </c>
      <c r="F313" s="9" t="s">
        <v>2362</v>
      </c>
      <c r="G313" s="9" t="s">
        <v>36</v>
      </c>
      <c r="H313" s="9" t="s">
        <v>2363</v>
      </c>
      <c r="I313" s="15">
        <v>520000</v>
      </c>
      <c r="J313" s="15">
        <v>0</v>
      </c>
      <c r="K313" s="15">
        <v>86666.67</v>
      </c>
    </row>
    <row r="314" spans="1:11">
      <c r="A314" s="9">
        <f t="shared" si="4"/>
        <v>309</v>
      </c>
      <c r="B314" s="9" t="s">
        <v>1465</v>
      </c>
      <c r="C314" s="9" t="s">
        <v>53</v>
      </c>
      <c r="D314" s="9" t="s">
        <v>1124</v>
      </c>
      <c r="E314" s="9" t="s">
        <v>2456</v>
      </c>
      <c r="F314" s="9" t="s">
        <v>2436</v>
      </c>
      <c r="G314" s="9" t="s">
        <v>2437</v>
      </c>
      <c r="H314" s="9" t="s">
        <v>2438</v>
      </c>
      <c r="I314" s="15">
        <v>797040</v>
      </c>
      <c r="J314" s="15">
        <v>664200</v>
      </c>
      <c r="K314" s="15">
        <v>132840</v>
      </c>
    </row>
    <row r="315" spans="1:11" ht="30">
      <c r="A315" s="9">
        <f t="shared" si="4"/>
        <v>310</v>
      </c>
      <c r="B315" s="9" t="s">
        <v>1465</v>
      </c>
      <c r="C315" s="9" t="s">
        <v>53</v>
      </c>
      <c r="D315" s="9" t="s">
        <v>509</v>
      </c>
      <c r="E315" s="9" t="s">
        <v>1560</v>
      </c>
      <c r="F315" s="9" t="s">
        <v>2362</v>
      </c>
      <c r="G315" s="9" t="s">
        <v>36</v>
      </c>
      <c r="H315" s="9" t="s">
        <v>2363</v>
      </c>
      <c r="I315" s="15">
        <v>361702</v>
      </c>
      <c r="J315" s="15">
        <v>301418.33</v>
      </c>
      <c r="K315" s="15">
        <v>60283.67</v>
      </c>
    </row>
    <row r="316" spans="1:11">
      <c r="A316" s="9">
        <f t="shared" si="4"/>
        <v>311</v>
      </c>
      <c r="B316" s="9" t="s">
        <v>1465</v>
      </c>
      <c r="C316" s="9" t="s">
        <v>255</v>
      </c>
      <c r="D316" s="9" t="s">
        <v>1577</v>
      </c>
      <c r="E316" s="9" t="s">
        <v>1563</v>
      </c>
      <c r="F316" s="9" t="s">
        <v>2436</v>
      </c>
      <c r="G316" s="9" t="s">
        <v>2437</v>
      </c>
      <c r="H316" s="9" t="s">
        <v>2438</v>
      </c>
      <c r="I316" s="15">
        <v>797040</v>
      </c>
      <c r="J316" s="15">
        <v>0</v>
      </c>
      <c r="K316" s="15">
        <v>132840</v>
      </c>
    </row>
    <row r="317" spans="1:11" ht="30">
      <c r="A317" s="9">
        <f t="shared" si="4"/>
        <v>312</v>
      </c>
      <c r="B317" s="9" t="s">
        <v>1465</v>
      </c>
      <c r="C317" s="9" t="s">
        <v>53</v>
      </c>
      <c r="D317" s="9" t="s">
        <v>2215</v>
      </c>
      <c r="E317" s="9" t="s">
        <v>1568</v>
      </c>
      <c r="F317" s="9" t="s">
        <v>2362</v>
      </c>
      <c r="G317" s="9" t="s">
        <v>36</v>
      </c>
      <c r="H317" s="9" t="s">
        <v>2363</v>
      </c>
      <c r="I317" s="15">
        <v>480848</v>
      </c>
      <c r="J317" s="15">
        <v>400706.67</v>
      </c>
      <c r="K317" s="15">
        <v>80141.33</v>
      </c>
    </row>
    <row r="318" spans="1:11" ht="30">
      <c r="A318" s="9">
        <f t="shared" si="4"/>
        <v>313</v>
      </c>
      <c r="B318" s="9" t="s">
        <v>1465</v>
      </c>
      <c r="C318" s="9" t="s">
        <v>255</v>
      </c>
      <c r="D318" s="9" t="s">
        <v>1606</v>
      </c>
      <c r="E318" s="9" t="s">
        <v>1571</v>
      </c>
      <c r="F318" s="9" t="s">
        <v>2362</v>
      </c>
      <c r="G318" s="9" t="s">
        <v>36</v>
      </c>
      <c r="H318" s="9" t="s">
        <v>2363</v>
      </c>
      <c r="I318" s="15">
        <v>200000</v>
      </c>
      <c r="J318" s="15">
        <v>0</v>
      </c>
      <c r="K318" s="15">
        <v>33333.33</v>
      </c>
    </row>
    <row r="319" spans="1:11">
      <c r="A319" s="9">
        <f t="shared" si="4"/>
        <v>314</v>
      </c>
      <c r="B319" s="9" t="s">
        <v>1465</v>
      </c>
      <c r="C319" s="9" t="s">
        <v>53</v>
      </c>
      <c r="D319" s="9" t="s">
        <v>1636</v>
      </c>
      <c r="E319" s="9" t="s">
        <v>1541</v>
      </c>
      <c r="F319" s="9" t="s">
        <v>2434</v>
      </c>
      <c r="G319" s="9" t="s">
        <v>75</v>
      </c>
      <c r="H319" s="9" t="s">
        <v>2435</v>
      </c>
      <c r="I319" s="15">
        <v>1358712</v>
      </c>
      <c r="J319" s="15">
        <v>1132260</v>
      </c>
      <c r="K319" s="15">
        <v>226452</v>
      </c>
    </row>
    <row r="320" spans="1:11">
      <c r="A320" s="9">
        <f t="shared" si="4"/>
        <v>315</v>
      </c>
      <c r="B320" s="9" t="s">
        <v>1465</v>
      </c>
      <c r="C320" s="9" t="s">
        <v>53</v>
      </c>
      <c r="D320" s="9" t="s">
        <v>2350</v>
      </c>
      <c r="E320" s="9" t="s">
        <v>1579</v>
      </c>
      <c r="F320" s="9" t="s">
        <v>2436</v>
      </c>
      <c r="G320" s="9" t="s">
        <v>2437</v>
      </c>
      <c r="H320" s="9" t="s">
        <v>2438</v>
      </c>
      <c r="I320" s="15">
        <v>828774</v>
      </c>
      <c r="J320" s="15">
        <v>690645</v>
      </c>
      <c r="K320" s="15">
        <v>138129</v>
      </c>
    </row>
    <row r="321" spans="1:11">
      <c r="A321" s="9">
        <f t="shared" si="4"/>
        <v>316</v>
      </c>
      <c r="B321" s="9" t="s">
        <v>1465</v>
      </c>
      <c r="C321" s="9" t="s">
        <v>53</v>
      </c>
      <c r="D321" s="9" t="s">
        <v>2373</v>
      </c>
      <c r="E321" s="9" t="s">
        <v>1585</v>
      </c>
      <c r="F321" s="9" t="s">
        <v>2434</v>
      </c>
      <c r="G321" s="9" t="s">
        <v>75</v>
      </c>
      <c r="H321" s="9" t="s">
        <v>2435</v>
      </c>
      <c r="I321" s="15">
        <v>2162142</v>
      </c>
      <c r="J321" s="15">
        <v>1801785</v>
      </c>
      <c r="K321" s="15">
        <v>360357</v>
      </c>
    </row>
    <row r="322" spans="1:11">
      <c r="A322" s="9">
        <f t="shared" si="4"/>
        <v>317</v>
      </c>
      <c r="B322" s="9" t="s">
        <v>1465</v>
      </c>
      <c r="C322" s="9" t="s">
        <v>53</v>
      </c>
      <c r="D322" s="9" t="s">
        <v>2375</v>
      </c>
      <c r="E322" s="9" t="s">
        <v>1604</v>
      </c>
      <c r="F322" s="9" t="s">
        <v>2436</v>
      </c>
      <c r="G322" s="9" t="s">
        <v>2437</v>
      </c>
      <c r="H322" s="9" t="s">
        <v>2438</v>
      </c>
      <c r="I322" s="15">
        <v>45000</v>
      </c>
      <c r="J322" s="15">
        <v>37500</v>
      </c>
      <c r="K322" s="15">
        <v>7500</v>
      </c>
    </row>
    <row r="323" spans="1:11" ht="30">
      <c r="A323" s="9">
        <f t="shared" si="4"/>
        <v>318</v>
      </c>
      <c r="B323" s="9" t="s">
        <v>1465</v>
      </c>
      <c r="C323" s="9" t="s">
        <v>255</v>
      </c>
      <c r="D323" s="9" t="s">
        <v>1607</v>
      </c>
      <c r="E323" s="9" t="s">
        <v>1604</v>
      </c>
      <c r="F323" s="9" t="s">
        <v>2362</v>
      </c>
      <c r="G323" s="9" t="s">
        <v>36</v>
      </c>
      <c r="H323" s="9" t="s">
        <v>2363</v>
      </c>
      <c r="I323" s="15">
        <v>300000</v>
      </c>
      <c r="J323" s="15">
        <v>0</v>
      </c>
      <c r="K323" s="15">
        <v>50000</v>
      </c>
    </row>
    <row r="324" spans="1:11">
      <c r="A324" s="9">
        <f t="shared" si="4"/>
        <v>319</v>
      </c>
      <c r="B324" s="9" t="s">
        <v>1465</v>
      </c>
      <c r="C324" s="9" t="s">
        <v>53</v>
      </c>
      <c r="D324" s="9" t="s">
        <v>2376</v>
      </c>
      <c r="E324" s="9" t="s">
        <v>1609</v>
      </c>
      <c r="F324" s="9" t="s">
        <v>2436</v>
      </c>
      <c r="G324" s="9" t="s">
        <v>2437</v>
      </c>
      <c r="H324" s="9" t="s">
        <v>2438</v>
      </c>
      <c r="I324" s="15">
        <v>822120</v>
      </c>
      <c r="J324" s="15">
        <v>685100</v>
      </c>
      <c r="K324" s="15">
        <v>137020</v>
      </c>
    </row>
    <row r="325" spans="1:11" ht="30">
      <c r="A325" s="9">
        <f t="shared" si="4"/>
        <v>320</v>
      </c>
      <c r="B325" s="9" t="s">
        <v>1465</v>
      </c>
      <c r="C325" s="9" t="s">
        <v>53</v>
      </c>
      <c r="D325" s="9" t="s">
        <v>205</v>
      </c>
      <c r="E325" s="9" t="s">
        <v>1609</v>
      </c>
      <c r="F325" s="9" t="s">
        <v>2362</v>
      </c>
      <c r="G325" s="9" t="s">
        <v>36</v>
      </c>
      <c r="H325" s="9" t="s">
        <v>2363</v>
      </c>
      <c r="I325" s="15">
        <v>805650</v>
      </c>
      <c r="J325" s="15">
        <v>671375</v>
      </c>
      <c r="K325" s="15">
        <v>134275</v>
      </c>
    </row>
    <row r="326" spans="1:11" ht="30">
      <c r="A326" s="9">
        <f t="shared" si="4"/>
        <v>321</v>
      </c>
      <c r="B326" s="9" t="s">
        <v>1465</v>
      </c>
      <c r="C326" s="9" t="s">
        <v>255</v>
      </c>
      <c r="D326" s="9" t="s">
        <v>1658</v>
      </c>
      <c r="E326" s="9" t="s">
        <v>1609</v>
      </c>
      <c r="F326" s="9" t="s">
        <v>2362</v>
      </c>
      <c r="G326" s="9" t="s">
        <v>36</v>
      </c>
      <c r="H326" s="9" t="s">
        <v>2363</v>
      </c>
      <c r="I326" s="15">
        <v>14350</v>
      </c>
      <c r="J326" s="15">
        <v>0</v>
      </c>
      <c r="K326" s="15">
        <v>2391.67</v>
      </c>
    </row>
    <row r="327" spans="1:11">
      <c r="A327" s="9">
        <f t="shared" ref="A327:A390" si="5">A326+1</f>
        <v>322</v>
      </c>
      <c r="B327" s="9" t="s">
        <v>1465</v>
      </c>
      <c r="C327" s="9" t="s">
        <v>255</v>
      </c>
      <c r="D327" s="9" t="s">
        <v>1638</v>
      </c>
      <c r="E327" s="9" t="s">
        <v>1631</v>
      </c>
      <c r="F327" s="9" t="s">
        <v>650</v>
      </c>
      <c r="G327" s="9" t="s">
        <v>651</v>
      </c>
      <c r="H327" s="9" t="s">
        <v>652</v>
      </c>
      <c r="I327" s="15">
        <v>300000</v>
      </c>
      <c r="J327" s="15">
        <v>0</v>
      </c>
      <c r="K327" s="15">
        <v>50000</v>
      </c>
    </row>
    <row r="328" spans="1:11">
      <c r="A328" s="9">
        <f t="shared" si="5"/>
        <v>323</v>
      </c>
      <c r="B328" s="9" t="s">
        <v>1465</v>
      </c>
      <c r="C328" s="9" t="s">
        <v>255</v>
      </c>
      <c r="D328" s="9" t="s">
        <v>1639</v>
      </c>
      <c r="E328" s="9" t="s">
        <v>1635</v>
      </c>
      <c r="F328" s="9" t="s">
        <v>650</v>
      </c>
      <c r="G328" s="9" t="s">
        <v>651</v>
      </c>
      <c r="H328" s="9" t="s">
        <v>652</v>
      </c>
      <c r="I328" s="15">
        <v>440000</v>
      </c>
      <c r="J328" s="15">
        <v>0</v>
      </c>
      <c r="K328" s="15">
        <v>73333.33</v>
      </c>
    </row>
    <row r="329" spans="1:11">
      <c r="A329" s="9">
        <f t="shared" si="5"/>
        <v>324</v>
      </c>
      <c r="B329" s="9" t="s">
        <v>1465</v>
      </c>
      <c r="C329" s="9" t="s">
        <v>53</v>
      </c>
      <c r="D329" s="9" t="s">
        <v>361</v>
      </c>
      <c r="E329" s="9" t="s">
        <v>1570</v>
      </c>
      <c r="F329" s="9" t="s">
        <v>650</v>
      </c>
      <c r="G329" s="9" t="s">
        <v>651</v>
      </c>
      <c r="H329" s="9" t="s">
        <v>652</v>
      </c>
      <c r="I329" s="15">
        <v>833520</v>
      </c>
      <c r="J329" s="15">
        <v>694600</v>
      </c>
      <c r="K329" s="15">
        <v>138920</v>
      </c>
    </row>
    <row r="330" spans="1:11">
      <c r="A330" s="9">
        <f t="shared" si="5"/>
        <v>325</v>
      </c>
      <c r="B330" s="9" t="s">
        <v>1465</v>
      </c>
      <c r="C330" s="9" t="s">
        <v>53</v>
      </c>
      <c r="D330" s="9" t="s">
        <v>2377</v>
      </c>
      <c r="E330" s="9" t="s">
        <v>1644</v>
      </c>
      <c r="F330" s="9" t="s">
        <v>2434</v>
      </c>
      <c r="G330" s="9" t="s">
        <v>75</v>
      </c>
      <c r="H330" s="9" t="s">
        <v>2435</v>
      </c>
      <c r="I330" s="15">
        <v>1130000</v>
      </c>
      <c r="J330" s="15">
        <v>941666.67</v>
      </c>
      <c r="K330" s="15">
        <v>188333.33</v>
      </c>
    </row>
    <row r="331" spans="1:11" ht="30">
      <c r="A331" s="9">
        <f t="shared" si="5"/>
        <v>326</v>
      </c>
      <c r="B331" s="9" t="s">
        <v>1465</v>
      </c>
      <c r="C331" s="9" t="s">
        <v>255</v>
      </c>
      <c r="D331" s="9" t="s">
        <v>1659</v>
      </c>
      <c r="E331" s="9" t="s">
        <v>1644</v>
      </c>
      <c r="F331" s="9" t="s">
        <v>2362</v>
      </c>
      <c r="G331" s="9" t="s">
        <v>36</v>
      </c>
      <c r="H331" s="9" t="s">
        <v>2363</v>
      </c>
      <c r="I331" s="15">
        <v>200000</v>
      </c>
      <c r="J331" s="15">
        <v>0</v>
      </c>
      <c r="K331" s="15">
        <v>33333.33</v>
      </c>
    </row>
    <row r="332" spans="1:11">
      <c r="A332" s="9">
        <f t="shared" si="5"/>
        <v>327</v>
      </c>
      <c r="B332" s="9" t="s">
        <v>1465</v>
      </c>
      <c r="C332" s="9" t="s">
        <v>53</v>
      </c>
      <c r="D332" s="9" t="s">
        <v>1712</v>
      </c>
      <c r="E332" s="9" t="s">
        <v>1647</v>
      </c>
      <c r="F332" s="9" t="s">
        <v>650</v>
      </c>
      <c r="G332" s="9" t="s">
        <v>651</v>
      </c>
      <c r="H332" s="9" t="s">
        <v>652</v>
      </c>
      <c r="I332" s="15">
        <v>28000</v>
      </c>
      <c r="J332" s="15">
        <v>23333.33</v>
      </c>
      <c r="K332" s="15">
        <v>4666.67</v>
      </c>
    </row>
    <row r="333" spans="1:11" ht="30">
      <c r="A333" s="9">
        <f t="shared" si="5"/>
        <v>328</v>
      </c>
      <c r="B333" s="9" t="s">
        <v>1465</v>
      </c>
      <c r="C333" s="9" t="s">
        <v>255</v>
      </c>
      <c r="D333" s="9" t="s">
        <v>1660</v>
      </c>
      <c r="E333" s="9" t="s">
        <v>1647</v>
      </c>
      <c r="F333" s="9" t="s">
        <v>2362</v>
      </c>
      <c r="G333" s="9" t="s">
        <v>36</v>
      </c>
      <c r="H333" s="9" t="s">
        <v>2363</v>
      </c>
      <c r="I333" s="15">
        <v>100000</v>
      </c>
      <c r="J333" s="15">
        <v>0</v>
      </c>
      <c r="K333" s="15">
        <v>16666.669999999998</v>
      </c>
    </row>
    <row r="334" spans="1:11">
      <c r="A334" s="9">
        <f t="shared" si="5"/>
        <v>329</v>
      </c>
      <c r="B334" s="9" t="s">
        <v>1465</v>
      </c>
      <c r="C334" s="9" t="s">
        <v>53</v>
      </c>
      <c r="D334" s="9" t="s">
        <v>714</v>
      </c>
      <c r="E334" s="9" t="s">
        <v>1654</v>
      </c>
      <c r="F334" s="9" t="s">
        <v>2434</v>
      </c>
      <c r="G334" s="9" t="s">
        <v>75</v>
      </c>
      <c r="H334" s="9" t="s">
        <v>2435</v>
      </c>
      <c r="I334" s="15">
        <v>1126384</v>
      </c>
      <c r="J334" s="15">
        <v>938653.33</v>
      </c>
      <c r="K334" s="15">
        <v>187730.67</v>
      </c>
    </row>
    <row r="335" spans="1:11">
      <c r="A335" s="9">
        <f t="shared" si="5"/>
        <v>330</v>
      </c>
      <c r="B335" s="9" t="s">
        <v>1465</v>
      </c>
      <c r="C335" s="9" t="s">
        <v>53</v>
      </c>
      <c r="D335" s="9" t="s">
        <v>2457</v>
      </c>
      <c r="E335" s="9" t="s">
        <v>1654</v>
      </c>
      <c r="F335" s="9" t="s">
        <v>2434</v>
      </c>
      <c r="G335" s="9" t="s">
        <v>75</v>
      </c>
      <c r="H335" s="9" t="s">
        <v>2435</v>
      </c>
      <c r="I335" s="15">
        <v>1158250</v>
      </c>
      <c r="J335" s="15">
        <v>965208.33</v>
      </c>
      <c r="K335" s="15">
        <v>193041.67</v>
      </c>
    </row>
    <row r="336" spans="1:11" ht="30">
      <c r="A336" s="9">
        <f t="shared" si="5"/>
        <v>331</v>
      </c>
      <c r="B336" s="9" t="s">
        <v>1465</v>
      </c>
      <c r="C336" s="9" t="s">
        <v>255</v>
      </c>
      <c r="D336" s="9" t="s">
        <v>1661</v>
      </c>
      <c r="E336" s="9" t="s">
        <v>1654</v>
      </c>
      <c r="F336" s="9" t="s">
        <v>2362</v>
      </c>
      <c r="G336" s="9" t="s">
        <v>36</v>
      </c>
      <c r="H336" s="9" t="s">
        <v>2363</v>
      </c>
      <c r="I336" s="15">
        <v>510000</v>
      </c>
      <c r="J336" s="15">
        <v>0</v>
      </c>
      <c r="K336" s="15">
        <v>85000</v>
      </c>
    </row>
    <row r="337" spans="1:11" ht="30">
      <c r="A337" s="9">
        <f t="shared" si="5"/>
        <v>332</v>
      </c>
      <c r="B337" s="9" t="s">
        <v>1465</v>
      </c>
      <c r="C337" s="9" t="s">
        <v>53</v>
      </c>
      <c r="D337" s="9" t="s">
        <v>148</v>
      </c>
      <c r="E337" s="9" t="s">
        <v>1656</v>
      </c>
      <c r="F337" s="9" t="s">
        <v>2362</v>
      </c>
      <c r="G337" s="9" t="s">
        <v>36</v>
      </c>
      <c r="H337" s="9" t="s">
        <v>2363</v>
      </c>
      <c r="I337" s="15">
        <v>839079</v>
      </c>
      <c r="J337" s="15">
        <v>699232.5</v>
      </c>
      <c r="K337" s="15">
        <v>139846.5</v>
      </c>
    </row>
    <row r="338" spans="1:11">
      <c r="A338" s="9">
        <f t="shared" si="5"/>
        <v>333</v>
      </c>
      <c r="B338" s="9" t="s">
        <v>1465</v>
      </c>
      <c r="C338" s="9" t="s">
        <v>255</v>
      </c>
      <c r="D338" s="9" t="s">
        <v>1679</v>
      </c>
      <c r="E338" s="9" t="s">
        <v>1656</v>
      </c>
      <c r="F338" s="9" t="s">
        <v>2458</v>
      </c>
      <c r="G338" s="9" t="s">
        <v>239</v>
      </c>
      <c r="H338" s="9" t="s">
        <v>2459</v>
      </c>
      <c r="I338" s="15">
        <v>400000</v>
      </c>
      <c r="J338" s="15">
        <v>0</v>
      </c>
      <c r="K338" s="15">
        <v>66666.67</v>
      </c>
    </row>
    <row r="339" spans="1:11">
      <c r="A339" s="9">
        <f t="shared" si="5"/>
        <v>334</v>
      </c>
      <c r="B339" s="9" t="s">
        <v>1669</v>
      </c>
      <c r="C339" s="9" t="s">
        <v>53</v>
      </c>
      <c r="D339" s="9" t="s">
        <v>2460</v>
      </c>
      <c r="E339" s="9" t="s">
        <v>2461</v>
      </c>
      <c r="F339" s="9" t="s">
        <v>2434</v>
      </c>
      <c r="G339" s="9" t="s">
        <v>75</v>
      </c>
      <c r="H339" s="9" t="s">
        <v>2435</v>
      </c>
      <c r="I339" s="15">
        <v>1123898</v>
      </c>
      <c r="J339" s="15">
        <v>936581.67</v>
      </c>
      <c r="K339" s="15">
        <v>187316.33</v>
      </c>
    </row>
    <row r="340" spans="1:11" ht="30">
      <c r="A340" s="9">
        <f t="shared" si="5"/>
        <v>335</v>
      </c>
      <c r="B340" s="9" t="s">
        <v>1669</v>
      </c>
      <c r="C340" s="9" t="s">
        <v>255</v>
      </c>
      <c r="D340" s="9" t="s">
        <v>1729</v>
      </c>
      <c r="E340" s="9" t="s">
        <v>1730</v>
      </c>
      <c r="F340" s="9" t="s">
        <v>2462</v>
      </c>
      <c r="G340" s="9" t="s">
        <v>36</v>
      </c>
      <c r="H340" s="9" t="s">
        <v>2463</v>
      </c>
      <c r="I340" s="15">
        <v>700000</v>
      </c>
      <c r="J340" s="15">
        <v>0</v>
      </c>
      <c r="K340" s="15">
        <v>116666.67</v>
      </c>
    </row>
    <row r="341" spans="1:11">
      <c r="A341" s="9">
        <f t="shared" si="5"/>
        <v>336</v>
      </c>
      <c r="B341" s="9" t="s">
        <v>1669</v>
      </c>
      <c r="C341" s="9" t="s">
        <v>53</v>
      </c>
      <c r="D341" s="9" t="s">
        <v>762</v>
      </c>
      <c r="E341" s="9" t="s">
        <v>1751</v>
      </c>
      <c r="F341" s="9" t="s">
        <v>2458</v>
      </c>
      <c r="G341" s="9" t="s">
        <v>239</v>
      </c>
      <c r="H341" s="9" t="s">
        <v>2459</v>
      </c>
      <c r="I341" s="15">
        <v>403680</v>
      </c>
      <c r="J341" s="15">
        <v>336400</v>
      </c>
      <c r="K341" s="15">
        <v>67280</v>
      </c>
    </row>
    <row r="342" spans="1:11" ht="30">
      <c r="A342" s="9">
        <f t="shared" si="5"/>
        <v>337</v>
      </c>
      <c r="B342" s="9" t="s">
        <v>1669</v>
      </c>
      <c r="C342" s="9" t="s">
        <v>255</v>
      </c>
      <c r="D342" s="9" t="s">
        <v>1750</v>
      </c>
      <c r="E342" s="9" t="s">
        <v>1751</v>
      </c>
      <c r="F342" s="9" t="s">
        <v>2462</v>
      </c>
      <c r="G342" s="9" t="s">
        <v>36</v>
      </c>
      <c r="H342" s="9" t="s">
        <v>2463</v>
      </c>
      <c r="I342" s="15">
        <v>900000</v>
      </c>
      <c r="J342" s="15">
        <v>0</v>
      </c>
      <c r="K342" s="15">
        <v>150000</v>
      </c>
    </row>
    <row r="343" spans="1:11">
      <c r="A343" s="9">
        <f t="shared" si="5"/>
        <v>338</v>
      </c>
      <c r="B343" s="9" t="s">
        <v>1669</v>
      </c>
      <c r="C343" s="9" t="s">
        <v>53</v>
      </c>
      <c r="D343" s="9" t="s">
        <v>2464</v>
      </c>
      <c r="E343" s="9" t="s">
        <v>1681</v>
      </c>
      <c r="F343" s="9" t="s">
        <v>650</v>
      </c>
      <c r="G343" s="9" t="s">
        <v>651</v>
      </c>
      <c r="H343" s="9" t="s">
        <v>652</v>
      </c>
      <c r="I343" s="15">
        <v>170440.5</v>
      </c>
      <c r="J343" s="15">
        <v>142033.75</v>
      </c>
      <c r="K343" s="15">
        <v>28406.75</v>
      </c>
    </row>
    <row r="344" spans="1:11" ht="30">
      <c r="A344" s="9">
        <f t="shared" si="5"/>
        <v>339</v>
      </c>
      <c r="B344" s="9" t="s">
        <v>1669</v>
      </c>
      <c r="C344" s="9" t="s">
        <v>255</v>
      </c>
      <c r="D344" s="9" t="s">
        <v>1766</v>
      </c>
      <c r="E344" s="9" t="s">
        <v>1685</v>
      </c>
      <c r="F344" s="9" t="s">
        <v>2462</v>
      </c>
      <c r="G344" s="9" t="s">
        <v>36</v>
      </c>
      <c r="H344" s="9" t="s">
        <v>2463</v>
      </c>
      <c r="I344" s="15">
        <v>30223</v>
      </c>
      <c r="J344" s="15">
        <v>0</v>
      </c>
      <c r="K344" s="15">
        <v>5037.17</v>
      </c>
    </row>
    <row r="345" spans="1:11">
      <c r="A345" s="9">
        <f t="shared" si="5"/>
        <v>340</v>
      </c>
      <c r="B345" s="9" t="s">
        <v>1669</v>
      </c>
      <c r="C345" s="9" t="s">
        <v>255</v>
      </c>
      <c r="D345" s="9" t="s">
        <v>1701</v>
      </c>
      <c r="E345" s="9" t="s">
        <v>1685</v>
      </c>
      <c r="F345" s="9" t="s">
        <v>1713</v>
      </c>
      <c r="G345" s="9" t="s">
        <v>57</v>
      </c>
      <c r="H345" s="9" t="s">
        <v>1714</v>
      </c>
      <c r="I345" s="15">
        <v>480000</v>
      </c>
      <c r="J345" s="15">
        <v>0</v>
      </c>
      <c r="K345" s="15">
        <v>80000</v>
      </c>
    </row>
    <row r="346" spans="1:11" ht="30">
      <c r="A346" s="9">
        <f t="shared" si="5"/>
        <v>341</v>
      </c>
      <c r="B346" s="9" t="s">
        <v>1669</v>
      </c>
      <c r="C346" s="9" t="s">
        <v>255</v>
      </c>
      <c r="D346" s="9" t="s">
        <v>1777</v>
      </c>
      <c r="E346" s="9" t="s">
        <v>1685</v>
      </c>
      <c r="F346" s="9" t="s">
        <v>2462</v>
      </c>
      <c r="G346" s="9" t="s">
        <v>36</v>
      </c>
      <c r="H346" s="9" t="s">
        <v>2463</v>
      </c>
      <c r="I346" s="15">
        <v>669777</v>
      </c>
      <c r="J346" s="15">
        <v>0</v>
      </c>
      <c r="K346" s="15">
        <v>111629.5</v>
      </c>
    </row>
    <row r="347" spans="1:11">
      <c r="A347" s="9">
        <f t="shared" si="5"/>
        <v>342</v>
      </c>
      <c r="B347" s="9" t="s">
        <v>1669</v>
      </c>
      <c r="C347" s="9" t="s">
        <v>53</v>
      </c>
      <c r="D347" s="9" t="s">
        <v>2380</v>
      </c>
      <c r="E347" s="9" t="s">
        <v>1690</v>
      </c>
      <c r="F347" s="9" t="s">
        <v>2434</v>
      </c>
      <c r="G347" s="9" t="s">
        <v>75</v>
      </c>
      <c r="H347" s="9" t="s">
        <v>2435</v>
      </c>
      <c r="I347" s="15">
        <v>1130000</v>
      </c>
      <c r="J347" s="15">
        <v>941666.67</v>
      </c>
      <c r="K347" s="15">
        <v>188333.33</v>
      </c>
    </row>
    <row r="348" spans="1:11">
      <c r="A348" s="9">
        <f t="shared" si="5"/>
        <v>343</v>
      </c>
      <c r="B348" s="9" t="s">
        <v>1669</v>
      </c>
      <c r="C348" s="9" t="s">
        <v>53</v>
      </c>
      <c r="D348" s="9" t="s">
        <v>2382</v>
      </c>
      <c r="E348" s="9" t="s">
        <v>2465</v>
      </c>
      <c r="F348" s="9" t="s">
        <v>1713</v>
      </c>
      <c r="G348" s="9" t="s">
        <v>57</v>
      </c>
      <c r="H348" s="9" t="s">
        <v>1714</v>
      </c>
      <c r="I348" s="15">
        <v>451200</v>
      </c>
      <c r="J348" s="15">
        <v>376000</v>
      </c>
      <c r="K348" s="15">
        <v>75200</v>
      </c>
    </row>
    <row r="349" spans="1:11">
      <c r="A349" s="9">
        <f t="shared" si="5"/>
        <v>344</v>
      </c>
      <c r="B349" s="9" t="s">
        <v>1669</v>
      </c>
      <c r="C349" s="9" t="s">
        <v>53</v>
      </c>
      <c r="D349" s="9" t="s">
        <v>948</v>
      </c>
      <c r="E349" s="9" t="s">
        <v>1702</v>
      </c>
      <c r="F349" s="9" t="s">
        <v>2434</v>
      </c>
      <c r="G349" s="9" t="s">
        <v>75</v>
      </c>
      <c r="H349" s="9" t="s">
        <v>2435</v>
      </c>
      <c r="I349" s="15">
        <v>1130000</v>
      </c>
      <c r="J349" s="15">
        <v>941666.67</v>
      </c>
      <c r="K349" s="15">
        <v>188333.33</v>
      </c>
    </row>
    <row r="350" spans="1:11">
      <c r="A350" s="9">
        <f t="shared" si="5"/>
        <v>345</v>
      </c>
      <c r="B350" s="9" t="s">
        <v>1669</v>
      </c>
      <c r="C350" s="9" t="s">
        <v>255</v>
      </c>
      <c r="D350" s="9" t="s">
        <v>1718</v>
      </c>
      <c r="E350" s="9" t="s">
        <v>1702</v>
      </c>
      <c r="F350" s="9" t="s">
        <v>2458</v>
      </c>
      <c r="G350" s="9" t="s">
        <v>239</v>
      </c>
      <c r="H350" s="9" t="s">
        <v>2459</v>
      </c>
      <c r="I350" s="15">
        <v>476320</v>
      </c>
      <c r="J350" s="15">
        <v>0</v>
      </c>
      <c r="K350" s="15">
        <v>79386.67</v>
      </c>
    </row>
    <row r="351" spans="1:11" ht="30">
      <c r="A351" s="9">
        <f t="shared" si="5"/>
        <v>346</v>
      </c>
      <c r="B351" s="9" t="s">
        <v>1669</v>
      </c>
      <c r="C351" s="9" t="s">
        <v>255</v>
      </c>
      <c r="D351" s="9" t="s">
        <v>1801</v>
      </c>
      <c r="E351" s="9" t="s">
        <v>1709</v>
      </c>
      <c r="F351" s="9" t="s">
        <v>2462</v>
      </c>
      <c r="G351" s="9" t="s">
        <v>36</v>
      </c>
      <c r="H351" s="9" t="s">
        <v>2463</v>
      </c>
      <c r="I351" s="15">
        <v>900000</v>
      </c>
      <c r="J351" s="15">
        <v>0</v>
      </c>
      <c r="K351" s="15">
        <v>150000</v>
      </c>
    </row>
    <row r="352" spans="1:11">
      <c r="A352" s="9">
        <f t="shared" si="5"/>
        <v>347</v>
      </c>
      <c r="B352" s="9" t="s">
        <v>1669</v>
      </c>
      <c r="C352" s="9" t="s">
        <v>53</v>
      </c>
      <c r="D352" s="9" t="s">
        <v>346</v>
      </c>
      <c r="E352" s="9" t="s">
        <v>1711</v>
      </c>
      <c r="F352" s="9" t="s">
        <v>2436</v>
      </c>
      <c r="G352" s="9" t="s">
        <v>2437</v>
      </c>
      <c r="H352" s="9" t="s">
        <v>2438</v>
      </c>
      <c r="I352" s="15">
        <v>842268</v>
      </c>
      <c r="J352" s="15">
        <v>701890</v>
      </c>
      <c r="K352" s="15">
        <v>140378</v>
      </c>
    </row>
    <row r="353" spans="1:11">
      <c r="A353" s="9">
        <f t="shared" si="5"/>
        <v>348</v>
      </c>
      <c r="B353" s="9" t="s">
        <v>1669</v>
      </c>
      <c r="C353" s="9" t="s">
        <v>53</v>
      </c>
      <c r="D353" s="9" t="s">
        <v>296</v>
      </c>
      <c r="E353" s="9" t="s">
        <v>1711</v>
      </c>
      <c r="F353" s="9" t="s">
        <v>2434</v>
      </c>
      <c r="G353" s="9" t="s">
        <v>75</v>
      </c>
      <c r="H353" s="9" t="s">
        <v>2435</v>
      </c>
      <c r="I353" s="15">
        <v>1132825</v>
      </c>
      <c r="J353" s="15">
        <v>944020.83</v>
      </c>
      <c r="K353" s="15">
        <v>188804.17</v>
      </c>
    </row>
    <row r="354" spans="1:11">
      <c r="A354" s="9">
        <f t="shared" si="5"/>
        <v>349</v>
      </c>
      <c r="B354" s="9" t="s">
        <v>1669</v>
      </c>
      <c r="C354" s="9" t="s">
        <v>255</v>
      </c>
      <c r="D354" s="9" t="s">
        <v>1790</v>
      </c>
      <c r="E354" s="9" t="s">
        <v>1711</v>
      </c>
      <c r="F354" s="9" t="s">
        <v>2458</v>
      </c>
      <c r="G354" s="9" t="s">
        <v>239</v>
      </c>
      <c r="H354" s="9" t="s">
        <v>2459</v>
      </c>
      <c r="I354" s="15">
        <v>480000</v>
      </c>
      <c r="J354" s="15">
        <v>0</v>
      </c>
      <c r="K354" s="15">
        <v>80000</v>
      </c>
    </row>
    <row r="355" spans="1:11">
      <c r="A355" s="9">
        <f t="shared" si="5"/>
        <v>350</v>
      </c>
      <c r="B355" s="9" t="s">
        <v>1669</v>
      </c>
      <c r="C355" s="9" t="s">
        <v>53</v>
      </c>
      <c r="D355" s="9" t="s">
        <v>369</v>
      </c>
      <c r="E355" s="9" t="s">
        <v>2466</v>
      </c>
      <c r="F355" s="9" t="s">
        <v>2434</v>
      </c>
      <c r="G355" s="9" t="s">
        <v>75</v>
      </c>
      <c r="H355" s="9" t="s">
        <v>2435</v>
      </c>
      <c r="I355" s="15">
        <v>1099490</v>
      </c>
      <c r="J355" s="15">
        <v>916241.67</v>
      </c>
      <c r="K355" s="15">
        <v>183248.33</v>
      </c>
    </row>
    <row r="356" spans="1:11">
      <c r="A356" s="9">
        <f t="shared" si="5"/>
        <v>351</v>
      </c>
      <c r="B356" s="9" t="s">
        <v>1669</v>
      </c>
      <c r="C356" s="9" t="s">
        <v>53</v>
      </c>
      <c r="D356" s="9" t="s">
        <v>2387</v>
      </c>
      <c r="E356" s="9" t="s">
        <v>1720</v>
      </c>
      <c r="F356" s="9" t="s">
        <v>2458</v>
      </c>
      <c r="G356" s="9" t="s">
        <v>239</v>
      </c>
      <c r="H356" s="9" t="s">
        <v>2459</v>
      </c>
      <c r="I356" s="15">
        <v>780320</v>
      </c>
      <c r="J356" s="15">
        <v>650266.66</v>
      </c>
      <c r="K356" s="15">
        <v>130053.34</v>
      </c>
    </row>
    <row r="357" spans="1:11">
      <c r="A357" s="9">
        <f t="shared" si="5"/>
        <v>352</v>
      </c>
      <c r="B357" s="9" t="s">
        <v>1669</v>
      </c>
      <c r="C357" s="9" t="s">
        <v>53</v>
      </c>
      <c r="D357" s="9" t="s">
        <v>2391</v>
      </c>
      <c r="E357" s="9" t="s">
        <v>1723</v>
      </c>
      <c r="F357" s="9" t="s">
        <v>2434</v>
      </c>
      <c r="G357" s="9" t="s">
        <v>75</v>
      </c>
      <c r="H357" s="9" t="s">
        <v>2435</v>
      </c>
      <c r="I357" s="15">
        <v>1130000</v>
      </c>
      <c r="J357" s="15">
        <v>941666.67</v>
      </c>
      <c r="K357" s="15">
        <v>188333.33</v>
      </c>
    </row>
    <row r="358" spans="1:11">
      <c r="A358" s="9">
        <f t="shared" si="5"/>
        <v>353</v>
      </c>
      <c r="B358" s="9" t="s">
        <v>1669</v>
      </c>
      <c r="C358" s="9" t="s">
        <v>53</v>
      </c>
      <c r="D358" s="9" t="s">
        <v>742</v>
      </c>
      <c r="E358" s="9" t="s">
        <v>2467</v>
      </c>
      <c r="F358" s="9" t="s">
        <v>2434</v>
      </c>
      <c r="G358" s="9" t="s">
        <v>75</v>
      </c>
      <c r="H358" s="9" t="s">
        <v>2435</v>
      </c>
      <c r="I358" s="15">
        <v>1134859</v>
      </c>
      <c r="J358" s="15">
        <v>945715.83</v>
      </c>
      <c r="K358" s="15">
        <v>189143.17</v>
      </c>
    </row>
    <row r="359" spans="1:11">
      <c r="A359" s="9">
        <f t="shared" si="5"/>
        <v>354</v>
      </c>
      <c r="B359" s="9" t="s">
        <v>1669</v>
      </c>
      <c r="C359" s="9" t="s">
        <v>53</v>
      </c>
      <c r="D359" s="9" t="s">
        <v>336</v>
      </c>
      <c r="E359" s="9" t="s">
        <v>1734</v>
      </c>
      <c r="F359" s="9" t="s">
        <v>2468</v>
      </c>
      <c r="G359" s="9" t="s">
        <v>222</v>
      </c>
      <c r="H359" s="9" t="s">
        <v>2469</v>
      </c>
      <c r="I359" s="15">
        <v>39500</v>
      </c>
      <c r="J359" s="15">
        <v>32916.67</v>
      </c>
      <c r="K359" s="15">
        <v>6583.33</v>
      </c>
    </row>
    <row r="360" spans="1:11">
      <c r="A360" s="9">
        <f t="shared" si="5"/>
        <v>355</v>
      </c>
      <c r="B360" s="9" t="s">
        <v>1669</v>
      </c>
      <c r="C360" s="9" t="s">
        <v>255</v>
      </c>
      <c r="D360" s="9" t="s">
        <v>1791</v>
      </c>
      <c r="E360" s="9" t="s">
        <v>1792</v>
      </c>
      <c r="F360" s="9" t="s">
        <v>2458</v>
      </c>
      <c r="G360" s="9" t="s">
        <v>239</v>
      </c>
      <c r="H360" s="9" t="s">
        <v>2459</v>
      </c>
      <c r="I360" s="15">
        <v>395000</v>
      </c>
      <c r="J360" s="15">
        <v>0</v>
      </c>
      <c r="K360" s="15">
        <v>65833.33</v>
      </c>
    </row>
    <row r="361" spans="1:11">
      <c r="A361" s="9">
        <f t="shared" si="5"/>
        <v>356</v>
      </c>
      <c r="B361" s="9" t="s">
        <v>1669</v>
      </c>
      <c r="C361" s="9" t="s">
        <v>53</v>
      </c>
      <c r="D361" s="9" t="s">
        <v>173</v>
      </c>
      <c r="E361" s="9" t="s">
        <v>1756</v>
      </c>
      <c r="F361" s="9" t="s">
        <v>2434</v>
      </c>
      <c r="G361" s="9" t="s">
        <v>75</v>
      </c>
      <c r="H361" s="9" t="s">
        <v>2435</v>
      </c>
      <c r="I361" s="15">
        <v>1102970</v>
      </c>
      <c r="J361" s="15">
        <v>919141.67</v>
      </c>
      <c r="K361" s="15">
        <v>183828.33</v>
      </c>
    </row>
    <row r="362" spans="1:11">
      <c r="A362" s="9">
        <f t="shared" si="5"/>
        <v>357</v>
      </c>
      <c r="B362" s="9" t="s">
        <v>1669</v>
      </c>
      <c r="C362" s="9" t="s">
        <v>53</v>
      </c>
      <c r="D362" s="9" t="s">
        <v>270</v>
      </c>
      <c r="E362" s="9" t="s">
        <v>1756</v>
      </c>
      <c r="F362" s="9" t="s">
        <v>2267</v>
      </c>
      <c r="G362" s="9" t="s">
        <v>2268</v>
      </c>
      <c r="H362" s="9" t="s">
        <v>2269</v>
      </c>
      <c r="I362" s="15">
        <v>980320</v>
      </c>
      <c r="J362" s="15">
        <v>816933.33</v>
      </c>
      <c r="K362" s="15">
        <v>163386.67000000001</v>
      </c>
    </row>
    <row r="363" spans="1:11">
      <c r="A363" s="9">
        <f t="shared" si="5"/>
        <v>358</v>
      </c>
      <c r="B363" s="9" t="s">
        <v>1669</v>
      </c>
      <c r="C363" s="9" t="s">
        <v>255</v>
      </c>
      <c r="D363" s="9" t="s">
        <v>1827</v>
      </c>
      <c r="E363" s="9" t="s">
        <v>1756</v>
      </c>
      <c r="F363" s="9" t="s">
        <v>2458</v>
      </c>
      <c r="G363" s="9" t="s">
        <v>239</v>
      </c>
      <c r="H363" s="9" t="s">
        <v>2459</v>
      </c>
      <c r="I363" s="15">
        <v>574000</v>
      </c>
      <c r="J363" s="15">
        <v>0</v>
      </c>
      <c r="K363" s="15">
        <v>95666.67</v>
      </c>
    </row>
    <row r="364" spans="1:11">
      <c r="A364" s="9">
        <f t="shared" si="5"/>
        <v>359</v>
      </c>
      <c r="B364" s="9" t="s">
        <v>1669</v>
      </c>
      <c r="C364" s="9" t="s">
        <v>53</v>
      </c>
      <c r="D364" s="9" t="s">
        <v>367</v>
      </c>
      <c r="E364" s="9" t="s">
        <v>2470</v>
      </c>
      <c r="F364" s="9" t="s">
        <v>2434</v>
      </c>
      <c r="G364" s="9" t="s">
        <v>75</v>
      </c>
      <c r="H364" s="9" t="s">
        <v>2435</v>
      </c>
      <c r="I364" s="15">
        <v>1099010</v>
      </c>
      <c r="J364" s="15">
        <v>915841.67</v>
      </c>
      <c r="K364" s="15">
        <v>183168.33</v>
      </c>
    </row>
    <row r="365" spans="1:11" ht="30">
      <c r="A365" s="9">
        <f t="shared" si="5"/>
        <v>360</v>
      </c>
      <c r="B365" s="9" t="s">
        <v>1669</v>
      </c>
      <c r="C365" s="9" t="s">
        <v>255</v>
      </c>
      <c r="D365" s="9" t="s">
        <v>1843</v>
      </c>
      <c r="E365" s="9" t="s">
        <v>1778</v>
      </c>
      <c r="F365" s="9" t="s">
        <v>2362</v>
      </c>
      <c r="G365" s="9" t="s">
        <v>36</v>
      </c>
      <c r="H365" s="9" t="s">
        <v>2363</v>
      </c>
      <c r="I365" s="15">
        <v>88303</v>
      </c>
      <c r="J365" s="15">
        <v>0</v>
      </c>
      <c r="K365" s="15">
        <v>14717.17</v>
      </c>
    </row>
    <row r="366" spans="1:11">
      <c r="A366" s="9">
        <f t="shared" si="5"/>
        <v>361</v>
      </c>
      <c r="B366" s="9" t="s">
        <v>1669</v>
      </c>
      <c r="C366" s="9" t="s">
        <v>53</v>
      </c>
      <c r="D366" s="9" t="s">
        <v>1228</v>
      </c>
      <c r="E366" s="9" t="s">
        <v>1789</v>
      </c>
      <c r="F366" s="9" t="s">
        <v>2434</v>
      </c>
      <c r="G366" s="9" t="s">
        <v>75</v>
      </c>
      <c r="H366" s="9" t="s">
        <v>2435</v>
      </c>
      <c r="I366" s="15">
        <v>1107480</v>
      </c>
      <c r="J366" s="15">
        <v>922900</v>
      </c>
      <c r="K366" s="15">
        <v>184580</v>
      </c>
    </row>
    <row r="367" spans="1:11">
      <c r="A367" s="9">
        <f t="shared" si="5"/>
        <v>362</v>
      </c>
      <c r="B367" s="9" t="s">
        <v>1669</v>
      </c>
      <c r="C367" s="9" t="s">
        <v>53</v>
      </c>
      <c r="D367" s="9" t="s">
        <v>2404</v>
      </c>
      <c r="E367" s="9" t="s">
        <v>1794</v>
      </c>
      <c r="F367" s="9" t="s">
        <v>2458</v>
      </c>
      <c r="G367" s="9" t="s">
        <v>239</v>
      </c>
      <c r="H367" s="9" t="s">
        <v>2459</v>
      </c>
      <c r="I367" s="15">
        <v>929514</v>
      </c>
      <c r="J367" s="15">
        <v>774595</v>
      </c>
      <c r="K367" s="15">
        <v>154919</v>
      </c>
    </row>
    <row r="368" spans="1:11">
      <c r="A368" s="9">
        <f t="shared" si="5"/>
        <v>363</v>
      </c>
      <c r="B368" s="9" t="s">
        <v>1669</v>
      </c>
      <c r="C368" s="9" t="s">
        <v>255</v>
      </c>
      <c r="D368" s="9" t="s">
        <v>1828</v>
      </c>
      <c r="E368" s="9" t="s">
        <v>1799</v>
      </c>
      <c r="F368" s="9" t="s">
        <v>2458</v>
      </c>
      <c r="G368" s="9" t="s">
        <v>239</v>
      </c>
      <c r="H368" s="9" t="s">
        <v>2459</v>
      </c>
      <c r="I368" s="15">
        <v>350000</v>
      </c>
      <c r="J368" s="15">
        <v>0</v>
      </c>
      <c r="K368" s="15">
        <v>58333.33</v>
      </c>
    </row>
    <row r="369" spans="1:11">
      <c r="A369" s="9">
        <f t="shared" si="5"/>
        <v>364</v>
      </c>
      <c r="B369" s="9" t="s">
        <v>1669</v>
      </c>
      <c r="C369" s="9" t="s">
        <v>53</v>
      </c>
      <c r="D369" s="9" t="s">
        <v>2406</v>
      </c>
      <c r="E369" s="9" t="s">
        <v>1803</v>
      </c>
      <c r="F369" s="9" t="s">
        <v>2436</v>
      </c>
      <c r="G369" s="9" t="s">
        <v>2437</v>
      </c>
      <c r="H369" s="9" t="s">
        <v>2438</v>
      </c>
      <c r="I369" s="15">
        <v>1152613</v>
      </c>
      <c r="J369" s="15">
        <v>960510.83</v>
      </c>
      <c r="K369" s="15">
        <v>192102.17</v>
      </c>
    </row>
    <row r="370" spans="1:11">
      <c r="A370" s="9">
        <f t="shared" si="5"/>
        <v>365</v>
      </c>
      <c r="B370" s="9" t="s">
        <v>1669</v>
      </c>
      <c r="C370" s="9" t="s">
        <v>255</v>
      </c>
      <c r="D370" s="9" t="s">
        <v>1802</v>
      </c>
      <c r="E370" s="9" t="s">
        <v>1803</v>
      </c>
      <c r="F370" s="9" t="s">
        <v>2267</v>
      </c>
      <c r="G370" s="9" t="s">
        <v>2268</v>
      </c>
      <c r="H370" s="9" t="s">
        <v>2269</v>
      </c>
      <c r="I370" s="15">
        <v>393280</v>
      </c>
      <c r="J370" s="15">
        <v>0</v>
      </c>
      <c r="K370" s="15">
        <v>65546.67</v>
      </c>
    </row>
    <row r="371" spans="1:11">
      <c r="A371" s="9">
        <f t="shared" si="5"/>
        <v>366</v>
      </c>
      <c r="B371" s="9" t="s">
        <v>1669</v>
      </c>
      <c r="C371" s="9" t="s">
        <v>53</v>
      </c>
      <c r="D371" s="9" t="s">
        <v>518</v>
      </c>
      <c r="E371" s="9" t="s">
        <v>1805</v>
      </c>
      <c r="F371" s="9" t="s">
        <v>2267</v>
      </c>
      <c r="G371" s="9" t="s">
        <v>2268</v>
      </c>
      <c r="H371" s="9" t="s">
        <v>2269</v>
      </c>
      <c r="I371" s="15">
        <v>471732</v>
      </c>
      <c r="J371" s="15">
        <v>393110</v>
      </c>
      <c r="K371" s="15">
        <v>78622</v>
      </c>
    </row>
    <row r="372" spans="1:11">
      <c r="A372" s="9">
        <f t="shared" si="5"/>
        <v>367</v>
      </c>
      <c r="B372" s="9" t="s">
        <v>1669</v>
      </c>
      <c r="C372" s="9" t="s">
        <v>53</v>
      </c>
      <c r="D372" s="9" t="s">
        <v>388</v>
      </c>
      <c r="E372" s="9" t="s">
        <v>1820</v>
      </c>
      <c r="F372" s="9" t="s">
        <v>2434</v>
      </c>
      <c r="G372" s="9" t="s">
        <v>75</v>
      </c>
      <c r="H372" s="9" t="s">
        <v>2435</v>
      </c>
      <c r="I372" s="15">
        <v>1643950</v>
      </c>
      <c r="J372" s="15">
        <v>1369958.33</v>
      </c>
      <c r="K372" s="15">
        <v>273991.67</v>
      </c>
    </row>
    <row r="373" spans="1:11">
      <c r="A373" s="9">
        <f t="shared" si="5"/>
        <v>368</v>
      </c>
      <c r="B373" s="9" t="s">
        <v>1669</v>
      </c>
      <c r="C373" s="9" t="s">
        <v>255</v>
      </c>
      <c r="D373" s="9" t="s">
        <v>1831</v>
      </c>
      <c r="E373" s="9" t="s">
        <v>1830</v>
      </c>
      <c r="F373" s="9" t="s">
        <v>2471</v>
      </c>
      <c r="G373" s="9" t="s">
        <v>2268</v>
      </c>
      <c r="H373" s="9" t="s">
        <v>2472</v>
      </c>
      <c r="I373" s="15">
        <v>100000</v>
      </c>
      <c r="J373" s="15">
        <v>0</v>
      </c>
      <c r="K373" s="15">
        <v>16666.669999999998</v>
      </c>
    </row>
    <row r="374" spans="1:11">
      <c r="A374" s="9">
        <f t="shared" si="5"/>
        <v>369</v>
      </c>
      <c r="B374" s="9" t="s">
        <v>1669</v>
      </c>
      <c r="C374" s="9" t="s">
        <v>255</v>
      </c>
      <c r="D374" s="9" t="s">
        <v>1829</v>
      </c>
      <c r="E374" s="9" t="s">
        <v>1830</v>
      </c>
      <c r="F374" s="9" t="s">
        <v>2458</v>
      </c>
      <c r="G374" s="9" t="s">
        <v>239</v>
      </c>
      <c r="H374" s="9" t="s">
        <v>2459</v>
      </c>
      <c r="I374" s="15">
        <v>200000</v>
      </c>
      <c r="J374" s="15">
        <v>0</v>
      </c>
      <c r="K374" s="15">
        <v>33333.33</v>
      </c>
    </row>
    <row r="375" spans="1:11">
      <c r="A375" s="9">
        <f t="shared" si="5"/>
        <v>370</v>
      </c>
      <c r="B375" s="9" t="s">
        <v>1669</v>
      </c>
      <c r="C375" s="9" t="s">
        <v>53</v>
      </c>
      <c r="D375" s="9" t="s">
        <v>2401</v>
      </c>
      <c r="E375" s="9" t="s">
        <v>1822</v>
      </c>
      <c r="F375" s="9" t="s">
        <v>2434</v>
      </c>
      <c r="G375" s="9" t="s">
        <v>75</v>
      </c>
      <c r="H375" s="9" t="s">
        <v>2435</v>
      </c>
      <c r="I375" s="15">
        <v>988130</v>
      </c>
      <c r="J375" s="15">
        <v>823441.67</v>
      </c>
      <c r="K375" s="15">
        <v>164688.32999999999</v>
      </c>
    </row>
    <row r="376" spans="1:11" ht="30">
      <c r="A376" s="9">
        <f t="shared" si="5"/>
        <v>371</v>
      </c>
      <c r="B376" s="9" t="s">
        <v>1669</v>
      </c>
      <c r="C376" s="9" t="s">
        <v>255</v>
      </c>
      <c r="D376" s="9" t="s">
        <v>1852</v>
      </c>
      <c r="E376" s="9" t="s">
        <v>1824</v>
      </c>
      <c r="F376" s="9" t="s">
        <v>2462</v>
      </c>
      <c r="G376" s="9" t="s">
        <v>36</v>
      </c>
      <c r="H376" s="9" t="s">
        <v>2463</v>
      </c>
      <c r="I376" s="15">
        <v>300000</v>
      </c>
      <c r="J376" s="15">
        <v>0</v>
      </c>
      <c r="K376" s="15">
        <v>50000</v>
      </c>
    </row>
    <row r="377" spans="1:11">
      <c r="A377" s="9">
        <f t="shared" si="5"/>
        <v>372</v>
      </c>
      <c r="B377" s="9" t="s">
        <v>1669</v>
      </c>
      <c r="C377" s="9" t="s">
        <v>53</v>
      </c>
      <c r="D377" s="9" t="s">
        <v>393</v>
      </c>
      <c r="E377" s="9" t="s">
        <v>2473</v>
      </c>
      <c r="F377" s="9" t="s">
        <v>2458</v>
      </c>
      <c r="G377" s="9" t="s">
        <v>239</v>
      </c>
      <c r="H377" s="9" t="s">
        <v>2459</v>
      </c>
      <c r="I377" s="15">
        <v>924537</v>
      </c>
      <c r="J377" s="15">
        <v>770447.5</v>
      </c>
      <c r="K377" s="15">
        <v>154089.5</v>
      </c>
    </row>
    <row r="378" spans="1:11" ht="30">
      <c r="A378" s="9">
        <f t="shared" si="5"/>
        <v>373</v>
      </c>
      <c r="B378" s="9" t="s">
        <v>1669</v>
      </c>
      <c r="C378" s="9" t="s">
        <v>255</v>
      </c>
      <c r="D378" s="9" t="s">
        <v>1865</v>
      </c>
      <c r="E378" s="9" t="s">
        <v>1866</v>
      </c>
      <c r="F378" s="9" t="s">
        <v>2462</v>
      </c>
      <c r="G378" s="9" t="s">
        <v>36</v>
      </c>
      <c r="H378" s="9" t="s">
        <v>2463</v>
      </c>
      <c r="I378" s="15">
        <v>1280000</v>
      </c>
      <c r="J378" s="15">
        <v>0</v>
      </c>
      <c r="K378" s="15">
        <v>213333.33</v>
      </c>
    </row>
    <row r="379" spans="1:11">
      <c r="A379" s="9">
        <f t="shared" si="5"/>
        <v>374</v>
      </c>
      <c r="B379" s="9" t="s">
        <v>1669</v>
      </c>
      <c r="C379" s="9" t="s">
        <v>255</v>
      </c>
      <c r="D379" s="9" t="s">
        <v>1857</v>
      </c>
      <c r="E379" s="9" t="s">
        <v>1842</v>
      </c>
      <c r="F379" s="9" t="s">
        <v>2434</v>
      </c>
      <c r="G379" s="9" t="s">
        <v>75</v>
      </c>
      <c r="H379" s="9" t="s">
        <v>2435</v>
      </c>
      <c r="I379" s="15">
        <v>1010000</v>
      </c>
      <c r="J379" s="15">
        <v>0</v>
      </c>
      <c r="K379" s="15">
        <v>168333.33</v>
      </c>
    </row>
    <row r="380" spans="1:11">
      <c r="A380" s="9">
        <f t="shared" si="5"/>
        <v>375</v>
      </c>
      <c r="B380" s="9" t="s">
        <v>1669</v>
      </c>
      <c r="C380" s="9" t="s">
        <v>255</v>
      </c>
      <c r="D380" s="9" t="s">
        <v>1875</v>
      </c>
      <c r="E380" s="9" t="s">
        <v>1854</v>
      </c>
      <c r="F380" s="9" t="s">
        <v>2434</v>
      </c>
      <c r="G380" s="9" t="s">
        <v>75</v>
      </c>
      <c r="H380" s="9" t="s">
        <v>2435</v>
      </c>
      <c r="I380" s="15">
        <v>2020000</v>
      </c>
      <c r="J380" s="15">
        <v>0</v>
      </c>
      <c r="K380" s="15">
        <v>336666.67</v>
      </c>
    </row>
    <row r="381" spans="1:11">
      <c r="A381" s="9">
        <f t="shared" si="5"/>
        <v>376</v>
      </c>
      <c r="B381" s="9" t="s">
        <v>1669</v>
      </c>
      <c r="C381" s="9" t="s">
        <v>53</v>
      </c>
      <c r="D381" s="9" t="s">
        <v>2409</v>
      </c>
      <c r="E381" s="9" t="s">
        <v>1859</v>
      </c>
      <c r="F381" s="9" t="s">
        <v>2434</v>
      </c>
      <c r="G381" s="9" t="s">
        <v>75</v>
      </c>
      <c r="H381" s="9" t="s">
        <v>2435</v>
      </c>
      <c r="I381" s="15">
        <v>2020000</v>
      </c>
      <c r="J381" s="15">
        <v>1683333.33</v>
      </c>
      <c r="K381" s="15">
        <v>336666.67</v>
      </c>
    </row>
    <row r="382" spans="1:11">
      <c r="A382" s="9">
        <f t="shared" si="5"/>
        <v>377</v>
      </c>
      <c r="B382" s="9" t="s">
        <v>1669</v>
      </c>
      <c r="C382" s="9" t="s">
        <v>255</v>
      </c>
      <c r="D382" s="9" t="s">
        <v>1867</v>
      </c>
      <c r="E382" s="9" t="s">
        <v>1859</v>
      </c>
      <c r="F382" s="9" t="s">
        <v>2474</v>
      </c>
      <c r="G382" s="9" t="s">
        <v>294</v>
      </c>
      <c r="H382" s="9" t="s">
        <v>2475</v>
      </c>
      <c r="I382" s="15">
        <v>76000</v>
      </c>
      <c r="J382" s="15">
        <v>0</v>
      </c>
      <c r="K382" s="15">
        <v>12666.67</v>
      </c>
    </row>
    <row r="383" spans="1:11">
      <c r="A383" s="9">
        <f t="shared" si="5"/>
        <v>378</v>
      </c>
      <c r="B383" s="9" t="s">
        <v>1669</v>
      </c>
      <c r="C383" s="9" t="s">
        <v>53</v>
      </c>
      <c r="D383" s="9" t="s">
        <v>2386</v>
      </c>
      <c r="E383" s="9" t="s">
        <v>1869</v>
      </c>
      <c r="F383" s="9" t="s">
        <v>650</v>
      </c>
      <c r="G383" s="9" t="s">
        <v>651</v>
      </c>
      <c r="H383" s="9" t="s">
        <v>652</v>
      </c>
      <c r="I383" s="15">
        <v>852774</v>
      </c>
      <c r="J383" s="15">
        <v>710645</v>
      </c>
      <c r="K383" s="15">
        <v>142129</v>
      </c>
    </row>
    <row r="384" spans="1:11">
      <c r="A384" s="9">
        <f t="shared" si="5"/>
        <v>379</v>
      </c>
      <c r="B384" s="9" t="s">
        <v>1669</v>
      </c>
      <c r="C384" s="9" t="s">
        <v>53</v>
      </c>
      <c r="D384" s="9" t="s">
        <v>132</v>
      </c>
      <c r="E384" s="9" t="s">
        <v>1869</v>
      </c>
      <c r="F384" s="9" t="s">
        <v>2474</v>
      </c>
      <c r="G384" s="9" t="s">
        <v>294</v>
      </c>
      <c r="H384" s="9" t="s">
        <v>2475</v>
      </c>
      <c r="I384" s="15">
        <v>76000</v>
      </c>
      <c r="J384" s="15">
        <v>63333.33</v>
      </c>
      <c r="K384" s="15">
        <v>12666.67</v>
      </c>
    </row>
    <row r="385" spans="1:11">
      <c r="A385" s="9">
        <f t="shared" si="5"/>
        <v>380</v>
      </c>
      <c r="B385" s="9" t="s">
        <v>1669</v>
      </c>
      <c r="C385" s="9" t="s">
        <v>255</v>
      </c>
      <c r="D385" s="9" t="s">
        <v>1876</v>
      </c>
      <c r="E385" s="9" t="s">
        <v>1869</v>
      </c>
      <c r="F385" s="9" t="s">
        <v>2434</v>
      </c>
      <c r="G385" s="9" t="s">
        <v>75</v>
      </c>
      <c r="H385" s="9" t="s">
        <v>2435</v>
      </c>
      <c r="I385" s="15">
        <v>1010000</v>
      </c>
      <c r="J385" s="15">
        <v>0</v>
      </c>
      <c r="K385" s="15">
        <v>168333.33</v>
      </c>
    </row>
    <row r="386" spans="1:11">
      <c r="A386" s="9">
        <f t="shared" si="5"/>
        <v>381</v>
      </c>
      <c r="B386" s="9" t="s">
        <v>1669</v>
      </c>
      <c r="C386" s="9" t="s">
        <v>255</v>
      </c>
      <c r="D386" s="9" t="s">
        <v>1898</v>
      </c>
      <c r="E386" s="9" t="s">
        <v>1869</v>
      </c>
      <c r="F386" s="9" t="s">
        <v>2434</v>
      </c>
      <c r="G386" s="9" t="s">
        <v>75</v>
      </c>
      <c r="H386" s="9" t="s">
        <v>2435</v>
      </c>
      <c r="I386" s="15">
        <v>2020000</v>
      </c>
      <c r="J386" s="15">
        <v>0</v>
      </c>
      <c r="K386" s="15">
        <v>336666.67</v>
      </c>
    </row>
    <row r="387" spans="1:11">
      <c r="A387" s="9">
        <f t="shared" si="5"/>
        <v>382</v>
      </c>
      <c r="B387" s="9" t="s">
        <v>1669</v>
      </c>
      <c r="C387" s="9" t="s">
        <v>255</v>
      </c>
      <c r="D387" s="9" t="s">
        <v>1877</v>
      </c>
      <c r="E387" s="9" t="s">
        <v>1874</v>
      </c>
      <c r="F387" s="9" t="s">
        <v>2476</v>
      </c>
      <c r="G387" s="9" t="s">
        <v>2477</v>
      </c>
      <c r="H387" s="9" t="s">
        <v>2478</v>
      </c>
      <c r="I387" s="15">
        <v>114000</v>
      </c>
      <c r="J387" s="15">
        <v>0</v>
      </c>
      <c r="K387" s="15">
        <v>19000</v>
      </c>
    </row>
    <row r="388" spans="1:11">
      <c r="A388" s="9">
        <f t="shared" si="5"/>
        <v>383</v>
      </c>
      <c r="B388" s="9" t="s">
        <v>1669</v>
      </c>
      <c r="C388" s="9" t="s">
        <v>53</v>
      </c>
      <c r="D388" s="9" t="s">
        <v>2394</v>
      </c>
      <c r="E388" s="9" t="s">
        <v>2479</v>
      </c>
      <c r="F388" s="9" t="s">
        <v>2434</v>
      </c>
      <c r="G388" s="9" t="s">
        <v>75</v>
      </c>
      <c r="H388" s="9" t="s">
        <v>2435</v>
      </c>
      <c r="I388" s="15">
        <v>2020000</v>
      </c>
      <c r="J388" s="15">
        <v>1683333.33</v>
      </c>
      <c r="K388" s="15">
        <v>336666.67</v>
      </c>
    </row>
    <row r="389" spans="1:11">
      <c r="A389" s="9">
        <f t="shared" si="5"/>
        <v>384</v>
      </c>
      <c r="B389" s="9" t="s">
        <v>1669</v>
      </c>
      <c r="C389" s="9" t="s">
        <v>53</v>
      </c>
      <c r="D389" s="9" t="s">
        <v>76</v>
      </c>
      <c r="E389" s="9" t="s">
        <v>2479</v>
      </c>
      <c r="F389" s="9" t="s">
        <v>2476</v>
      </c>
      <c r="G389" s="9" t="s">
        <v>2477</v>
      </c>
      <c r="H389" s="9" t="s">
        <v>2478</v>
      </c>
      <c r="I389" s="15">
        <v>131936</v>
      </c>
      <c r="J389" s="15">
        <v>109946.67</v>
      </c>
      <c r="K389" s="15">
        <v>21989.33</v>
      </c>
    </row>
    <row r="390" spans="1:11">
      <c r="A390" s="9">
        <f t="shared" si="5"/>
        <v>385</v>
      </c>
      <c r="B390" s="9" t="s">
        <v>1669</v>
      </c>
      <c r="C390" s="9" t="s">
        <v>53</v>
      </c>
      <c r="D390" s="9" t="s">
        <v>2410</v>
      </c>
      <c r="E390" s="9" t="s">
        <v>2479</v>
      </c>
      <c r="F390" s="9" t="s">
        <v>650</v>
      </c>
      <c r="G390" s="9" t="s">
        <v>651</v>
      </c>
      <c r="H390" s="9" t="s">
        <v>652</v>
      </c>
      <c r="I390" s="15">
        <v>707226</v>
      </c>
      <c r="J390" s="15">
        <v>589355</v>
      </c>
      <c r="K390" s="15">
        <v>117871</v>
      </c>
    </row>
    <row r="391" spans="1:11">
      <c r="A391" s="9">
        <f t="shared" ref="A391:A454" si="6">A390+1</f>
        <v>386</v>
      </c>
      <c r="B391" s="9" t="s">
        <v>1887</v>
      </c>
      <c r="C391" s="9" t="s">
        <v>255</v>
      </c>
      <c r="D391" s="9" t="s">
        <v>107</v>
      </c>
      <c r="E391" s="9" t="s">
        <v>1903</v>
      </c>
      <c r="F391" s="9" t="s">
        <v>2458</v>
      </c>
      <c r="G391" s="9" t="s">
        <v>239</v>
      </c>
      <c r="H391" s="9" t="s">
        <v>2459</v>
      </c>
      <c r="I391" s="15">
        <v>300000</v>
      </c>
      <c r="J391" s="15">
        <v>0</v>
      </c>
      <c r="K391" s="15">
        <v>50000</v>
      </c>
    </row>
    <row r="392" spans="1:11">
      <c r="A392" s="9">
        <f t="shared" si="6"/>
        <v>387</v>
      </c>
      <c r="B392" s="9" t="s">
        <v>1887</v>
      </c>
      <c r="C392" s="9" t="s">
        <v>255</v>
      </c>
      <c r="D392" s="9" t="s">
        <v>72</v>
      </c>
      <c r="E392" s="9" t="s">
        <v>1897</v>
      </c>
      <c r="F392" s="9" t="s">
        <v>2458</v>
      </c>
      <c r="G392" s="9" t="s">
        <v>239</v>
      </c>
      <c r="H392" s="9" t="s">
        <v>2459</v>
      </c>
      <c r="I392" s="15">
        <v>500000</v>
      </c>
      <c r="J392" s="15">
        <v>0</v>
      </c>
      <c r="K392" s="15">
        <v>83333.33</v>
      </c>
    </row>
    <row r="393" spans="1:11">
      <c r="A393" s="9">
        <f t="shared" si="6"/>
        <v>388</v>
      </c>
      <c r="B393" s="9" t="s">
        <v>1887</v>
      </c>
      <c r="C393" s="9" t="s">
        <v>53</v>
      </c>
      <c r="D393" s="9" t="s">
        <v>214</v>
      </c>
      <c r="E393" s="9" t="s">
        <v>1900</v>
      </c>
      <c r="F393" s="9" t="s">
        <v>2434</v>
      </c>
      <c r="G393" s="9" t="s">
        <v>75</v>
      </c>
      <c r="H393" s="9" t="s">
        <v>2435</v>
      </c>
      <c r="I393" s="15">
        <v>2020000</v>
      </c>
      <c r="J393" s="15">
        <v>1683333.33</v>
      </c>
      <c r="K393" s="15">
        <v>336666.67</v>
      </c>
    </row>
    <row r="394" spans="1:11">
      <c r="A394" s="9">
        <f t="shared" si="6"/>
        <v>389</v>
      </c>
      <c r="B394" s="9" t="s">
        <v>1887</v>
      </c>
      <c r="C394" s="9" t="s">
        <v>255</v>
      </c>
      <c r="D394" s="9" t="s">
        <v>116</v>
      </c>
      <c r="E394" s="9" t="s">
        <v>1902</v>
      </c>
      <c r="F394" s="9" t="s">
        <v>2384</v>
      </c>
      <c r="G394" s="9" t="s">
        <v>2233</v>
      </c>
      <c r="H394" s="9" t="s">
        <v>2385</v>
      </c>
      <c r="I394" s="15">
        <v>444000</v>
      </c>
      <c r="J394" s="15">
        <v>0</v>
      </c>
      <c r="K394" s="15">
        <v>74000</v>
      </c>
    </row>
    <row r="395" spans="1:11">
      <c r="A395" s="9">
        <f t="shared" si="6"/>
        <v>390</v>
      </c>
      <c r="B395" s="9" t="s">
        <v>1887</v>
      </c>
      <c r="C395" s="9" t="s">
        <v>255</v>
      </c>
      <c r="D395" s="9" t="s">
        <v>198</v>
      </c>
      <c r="E395" s="9" t="s">
        <v>1902</v>
      </c>
      <c r="F395" s="9" t="s">
        <v>2434</v>
      </c>
      <c r="G395" s="9" t="s">
        <v>75</v>
      </c>
      <c r="H395" s="9" t="s">
        <v>2435</v>
      </c>
      <c r="I395" s="15">
        <v>2020000</v>
      </c>
      <c r="J395" s="15">
        <v>0</v>
      </c>
      <c r="K395" s="15">
        <v>336666.67</v>
      </c>
    </row>
    <row r="396" spans="1:11">
      <c r="A396" s="9">
        <f t="shared" si="6"/>
        <v>391</v>
      </c>
      <c r="B396" s="9" t="s">
        <v>1887</v>
      </c>
      <c r="C396" s="9" t="s">
        <v>53</v>
      </c>
      <c r="D396" s="9" t="s">
        <v>731</v>
      </c>
      <c r="E396" s="9" t="s">
        <v>1905</v>
      </c>
      <c r="F396" s="9" t="s">
        <v>2458</v>
      </c>
      <c r="G396" s="9" t="s">
        <v>239</v>
      </c>
      <c r="H396" s="9" t="s">
        <v>2459</v>
      </c>
      <c r="I396" s="15">
        <v>836610</v>
      </c>
      <c r="J396" s="15">
        <v>697175</v>
      </c>
      <c r="K396" s="15">
        <v>139435</v>
      </c>
    </row>
    <row r="397" spans="1:11">
      <c r="A397" s="9">
        <f t="shared" si="6"/>
        <v>392</v>
      </c>
      <c r="B397" s="9" t="s">
        <v>1887</v>
      </c>
      <c r="C397" s="9" t="s">
        <v>53</v>
      </c>
      <c r="D397" s="9" t="s">
        <v>236</v>
      </c>
      <c r="E397" s="9" t="s">
        <v>1905</v>
      </c>
      <c r="F397" s="9" t="s">
        <v>2384</v>
      </c>
      <c r="G397" s="9" t="s">
        <v>2233</v>
      </c>
      <c r="H397" s="9" t="s">
        <v>2385</v>
      </c>
      <c r="I397" s="15">
        <v>917156</v>
      </c>
      <c r="J397" s="15">
        <v>764296.67</v>
      </c>
      <c r="K397" s="15">
        <v>152859.32999999999</v>
      </c>
    </row>
    <row r="398" spans="1:11">
      <c r="A398" s="9">
        <f t="shared" si="6"/>
        <v>393</v>
      </c>
      <c r="B398" s="9" t="s">
        <v>1887</v>
      </c>
      <c r="C398" s="9" t="s">
        <v>53</v>
      </c>
      <c r="D398" s="9" t="s">
        <v>646</v>
      </c>
      <c r="E398" s="9" t="s">
        <v>1905</v>
      </c>
      <c r="F398" s="9" t="s">
        <v>2476</v>
      </c>
      <c r="G398" s="9" t="s">
        <v>2477</v>
      </c>
      <c r="H398" s="9" t="s">
        <v>2478</v>
      </c>
      <c r="I398" s="15">
        <v>406744</v>
      </c>
      <c r="J398" s="15">
        <v>338953.33</v>
      </c>
      <c r="K398" s="15">
        <v>67790.67</v>
      </c>
    </row>
    <row r="399" spans="1:11">
      <c r="A399" s="9">
        <f t="shared" si="6"/>
        <v>394</v>
      </c>
      <c r="B399" s="9" t="s">
        <v>1887</v>
      </c>
      <c r="C399" s="9" t="s">
        <v>53</v>
      </c>
      <c r="D399" s="9" t="s">
        <v>137</v>
      </c>
      <c r="E399" s="9" t="s">
        <v>1905</v>
      </c>
      <c r="F399" s="9" t="s">
        <v>409</v>
      </c>
      <c r="G399" s="9" t="s">
        <v>410</v>
      </c>
      <c r="H399" s="9" t="s">
        <v>411</v>
      </c>
      <c r="I399" s="15">
        <v>480000</v>
      </c>
      <c r="J399" s="15">
        <v>400000</v>
      </c>
      <c r="K399" s="15">
        <v>80000</v>
      </c>
    </row>
    <row r="400" spans="1:11">
      <c r="A400" s="9">
        <f t="shared" si="6"/>
        <v>395</v>
      </c>
      <c r="B400" s="9" t="s">
        <v>1887</v>
      </c>
      <c r="C400" s="9" t="s">
        <v>53</v>
      </c>
      <c r="D400" s="9" t="s">
        <v>735</v>
      </c>
      <c r="E400" s="9" t="s">
        <v>1911</v>
      </c>
      <c r="F400" s="9" t="s">
        <v>2402</v>
      </c>
      <c r="G400" s="9" t="s">
        <v>1727</v>
      </c>
      <c r="H400" s="9" t="s">
        <v>2403</v>
      </c>
      <c r="I400" s="15">
        <v>898804</v>
      </c>
      <c r="J400" s="15">
        <v>749003.33</v>
      </c>
      <c r="K400" s="15">
        <v>149800.67000000001</v>
      </c>
    </row>
    <row r="401" spans="1:11">
      <c r="A401" s="9">
        <f t="shared" si="6"/>
        <v>396</v>
      </c>
      <c r="B401" s="9" t="s">
        <v>1887</v>
      </c>
      <c r="C401" s="9" t="s">
        <v>255</v>
      </c>
      <c r="D401" s="9" t="s">
        <v>203</v>
      </c>
      <c r="E401" s="9" t="s">
        <v>1911</v>
      </c>
      <c r="F401" s="9" t="s">
        <v>2402</v>
      </c>
      <c r="G401" s="9" t="s">
        <v>1727</v>
      </c>
      <c r="H401" s="9" t="s">
        <v>2403</v>
      </c>
      <c r="I401" s="15">
        <v>888000</v>
      </c>
      <c r="J401" s="15">
        <v>0</v>
      </c>
      <c r="K401" s="15">
        <v>148000</v>
      </c>
    </row>
    <row r="402" spans="1:11">
      <c r="A402" s="9">
        <f t="shared" si="6"/>
        <v>397</v>
      </c>
      <c r="B402" s="9" t="s">
        <v>1887</v>
      </c>
      <c r="C402" s="9" t="s">
        <v>255</v>
      </c>
      <c r="D402" s="9" t="s">
        <v>210</v>
      </c>
      <c r="E402" s="9" t="s">
        <v>1919</v>
      </c>
      <c r="F402" s="9" t="s">
        <v>2474</v>
      </c>
      <c r="G402" s="9" t="s">
        <v>294</v>
      </c>
      <c r="H402" s="9" t="s">
        <v>2475</v>
      </c>
      <c r="I402" s="15">
        <v>76000</v>
      </c>
      <c r="J402" s="15">
        <v>0</v>
      </c>
      <c r="K402" s="15">
        <v>12666.67</v>
      </c>
    </row>
    <row r="403" spans="1:11">
      <c r="A403" s="9">
        <f t="shared" si="6"/>
        <v>398</v>
      </c>
      <c r="B403" s="9" t="s">
        <v>1887</v>
      </c>
      <c r="C403" s="9" t="s">
        <v>53</v>
      </c>
      <c r="D403" s="9" t="s">
        <v>769</v>
      </c>
      <c r="E403" s="9" t="s">
        <v>1925</v>
      </c>
      <c r="F403" s="9" t="s">
        <v>2434</v>
      </c>
      <c r="G403" s="9" t="s">
        <v>75</v>
      </c>
      <c r="H403" s="9" t="s">
        <v>2435</v>
      </c>
      <c r="I403" s="15">
        <v>2020000</v>
      </c>
      <c r="J403" s="15">
        <v>1683333.33</v>
      </c>
      <c r="K403" s="15">
        <v>336666.67</v>
      </c>
    </row>
    <row r="404" spans="1:11">
      <c r="A404" s="9">
        <f t="shared" si="6"/>
        <v>399</v>
      </c>
      <c r="B404" s="9" t="s">
        <v>1887</v>
      </c>
      <c r="C404" s="9" t="s">
        <v>255</v>
      </c>
      <c r="D404" s="9" t="s">
        <v>212</v>
      </c>
      <c r="E404" s="9" t="s">
        <v>1925</v>
      </c>
      <c r="F404" s="9" t="s">
        <v>2402</v>
      </c>
      <c r="G404" s="9" t="s">
        <v>1727</v>
      </c>
      <c r="H404" s="9" t="s">
        <v>2403</v>
      </c>
      <c r="I404" s="15">
        <v>370000</v>
      </c>
      <c r="J404" s="15">
        <v>0</v>
      </c>
      <c r="K404" s="15">
        <v>61666.67</v>
      </c>
    </row>
    <row r="405" spans="1:11">
      <c r="A405" s="9">
        <f t="shared" si="6"/>
        <v>400</v>
      </c>
      <c r="B405" s="9" t="s">
        <v>1887</v>
      </c>
      <c r="C405" s="9" t="s">
        <v>53</v>
      </c>
      <c r="D405" s="9" t="s">
        <v>1375</v>
      </c>
      <c r="E405" s="9" t="s">
        <v>1927</v>
      </c>
      <c r="F405" s="9" t="s">
        <v>2402</v>
      </c>
      <c r="G405" s="9" t="s">
        <v>1727</v>
      </c>
      <c r="H405" s="9" t="s">
        <v>2403</v>
      </c>
      <c r="I405" s="15">
        <v>387020</v>
      </c>
      <c r="J405" s="15">
        <v>322516.67</v>
      </c>
      <c r="K405" s="15">
        <v>64503.33</v>
      </c>
    </row>
    <row r="406" spans="1:11">
      <c r="A406" s="9">
        <f t="shared" si="6"/>
        <v>401</v>
      </c>
      <c r="B406" s="9" t="s">
        <v>1887</v>
      </c>
      <c r="C406" s="9" t="s">
        <v>53</v>
      </c>
      <c r="D406" s="9" t="s">
        <v>354</v>
      </c>
      <c r="E406" s="9" t="s">
        <v>1927</v>
      </c>
      <c r="F406" s="9" t="s">
        <v>2480</v>
      </c>
      <c r="G406" s="9" t="s">
        <v>2481</v>
      </c>
      <c r="H406" s="9" t="s">
        <v>2482</v>
      </c>
      <c r="I406" s="15">
        <v>56402</v>
      </c>
      <c r="J406" s="15">
        <v>47001.67</v>
      </c>
      <c r="K406" s="15">
        <v>9400.33</v>
      </c>
    </row>
    <row r="407" spans="1:11" ht="45">
      <c r="A407" s="9">
        <f t="shared" si="6"/>
        <v>402</v>
      </c>
      <c r="B407" s="9" t="s">
        <v>1887</v>
      </c>
      <c r="C407" s="9" t="s">
        <v>53</v>
      </c>
      <c r="D407" s="9" t="s">
        <v>2241</v>
      </c>
      <c r="E407" s="9" t="s">
        <v>1942</v>
      </c>
      <c r="F407" s="9" t="s">
        <v>2339</v>
      </c>
      <c r="G407" s="9" t="s">
        <v>2340</v>
      </c>
      <c r="H407" s="9" t="s">
        <v>2341</v>
      </c>
      <c r="I407" s="15">
        <v>100900</v>
      </c>
      <c r="J407" s="15">
        <v>84083.33</v>
      </c>
      <c r="K407" s="15">
        <v>16816.669999999998</v>
      </c>
    </row>
    <row r="408" spans="1:11">
      <c r="A408" s="9">
        <f t="shared" si="6"/>
        <v>403</v>
      </c>
      <c r="B408" s="9" t="s">
        <v>1887</v>
      </c>
      <c r="C408" s="9" t="s">
        <v>53</v>
      </c>
      <c r="D408" s="9" t="s">
        <v>707</v>
      </c>
      <c r="E408" s="9" t="s">
        <v>1946</v>
      </c>
      <c r="F408" s="9" t="s">
        <v>2483</v>
      </c>
      <c r="G408" s="9" t="s">
        <v>2484</v>
      </c>
      <c r="H408" s="9" t="s">
        <v>2485</v>
      </c>
      <c r="I408" s="15">
        <v>110000</v>
      </c>
      <c r="J408" s="15">
        <v>91666.67</v>
      </c>
      <c r="K408" s="15">
        <v>18333.330000000002</v>
      </c>
    </row>
    <row r="409" spans="1:11">
      <c r="A409" s="9">
        <f t="shared" si="6"/>
        <v>404</v>
      </c>
      <c r="B409" s="9" t="s">
        <v>1887</v>
      </c>
      <c r="C409" s="9" t="s">
        <v>255</v>
      </c>
      <c r="D409" s="9" t="s">
        <v>224</v>
      </c>
      <c r="E409" s="9" t="s">
        <v>1947</v>
      </c>
      <c r="F409" s="9" t="s">
        <v>2402</v>
      </c>
      <c r="G409" s="9" t="s">
        <v>1727</v>
      </c>
      <c r="H409" s="9" t="s">
        <v>2403</v>
      </c>
      <c r="I409" s="15">
        <v>888000</v>
      </c>
      <c r="J409" s="15">
        <v>0</v>
      </c>
      <c r="K409" s="15">
        <v>148000</v>
      </c>
    </row>
    <row r="410" spans="1:11">
      <c r="A410" s="9">
        <f t="shared" si="6"/>
        <v>405</v>
      </c>
      <c r="B410" s="9" t="s">
        <v>1887</v>
      </c>
      <c r="C410" s="9" t="s">
        <v>53</v>
      </c>
      <c r="D410" s="9" t="s">
        <v>2244</v>
      </c>
      <c r="E410" s="9" t="s">
        <v>2486</v>
      </c>
      <c r="F410" s="9" t="s">
        <v>2402</v>
      </c>
      <c r="G410" s="9" t="s">
        <v>1727</v>
      </c>
      <c r="H410" s="9" t="s">
        <v>2403</v>
      </c>
      <c r="I410" s="15">
        <v>960594</v>
      </c>
      <c r="J410" s="15">
        <v>800495</v>
      </c>
      <c r="K410" s="15">
        <v>160099</v>
      </c>
    </row>
    <row r="411" spans="1:11">
      <c r="A411" s="9">
        <f t="shared" si="6"/>
        <v>406</v>
      </c>
      <c r="B411" s="9" t="s">
        <v>1887</v>
      </c>
      <c r="C411" s="9" t="s">
        <v>255</v>
      </c>
      <c r="D411" s="9" t="s">
        <v>341</v>
      </c>
      <c r="E411" s="9" t="s">
        <v>1949</v>
      </c>
      <c r="F411" s="9" t="s">
        <v>2402</v>
      </c>
      <c r="G411" s="9" t="s">
        <v>1727</v>
      </c>
      <c r="H411" s="9" t="s">
        <v>2403</v>
      </c>
      <c r="I411" s="15">
        <v>27824</v>
      </c>
      <c r="J411" s="15">
        <v>0</v>
      </c>
      <c r="K411" s="15">
        <v>4637.33</v>
      </c>
    </row>
    <row r="412" spans="1:11">
      <c r="A412" s="9">
        <f t="shared" si="6"/>
        <v>407</v>
      </c>
      <c r="B412" s="9" t="s">
        <v>1887</v>
      </c>
      <c r="C412" s="9" t="s">
        <v>255</v>
      </c>
      <c r="D412" s="9" t="s">
        <v>463</v>
      </c>
      <c r="E412" s="9" t="s">
        <v>1949</v>
      </c>
      <c r="F412" s="9" t="s">
        <v>2483</v>
      </c>
      <c r="G412" s="9" t="s">
        <v>2484</v>
      </c>
      <c r="H412" s="9" t="s">
        <v>2485</v>
      </c>
      <c r="I412" s="15">
        <v>257500</v>
      </c>
      <c r="J412" s="15">
        <v>0</v>
      </c>
      <c r="K412" s="15">
        <v>42916.67</v>
      </c>
    </row>
    <row r="413" spans="1:11">
      <c r="A413" s="9">
        <f t="shared" si="6"/>
        <v>408</v>
      </c>
      <c r="B413" s="9" t="s">
        <v>1887</v>
      </c>
      <c r="C413" s="9" t="s">
        <v>53</v>
      </c>
      <c r="D413" s="9" t="s">
        <v>177</v>
      </c>
      <c r="E413" s="9" t="s">
        <v>2487</v>
      </c>
      <c r="F413" s="9" t="s">
        <v>2483</v>
      </c>
      <c r="G413" s="9" t="s">
        <v>2484</v>
      </c>
      <c r="H413" s="9" t="s">
        <v>2485</v>
      </c>
      <c r="I413" s="15">
        <v>515000</v>
      </c>
      <c r="J413" s="15">
        <v>429166.66</v>
      </c>
      <c r="K413" s="15">
        <v>85833.34</v>
      </c>
    </row>
    <row r="414" spans="1:11">
      <c r="A414" s="9">
        <f t="shared" si="6"/>
        <v>409</v>
      </c>
      <c r="B414" s="9" t="s">
        <v>1887</v>
      </c>
      <c r="C414" s="9" t="s">
        <v>53</v>
      </c>
      <c r="D414" s="9" t="s">
        <v>1393</v>
      </c>
      <c r="E414" s="9" t="s">
        <v>2487</v>
      </c>
      <c r="F414" s="9" t="s">
        <v>2250</v>
      </c>
      <c r="G414" s="9" t="s">
        <v>2251</v>
      </c>
      <c r="H414" s="9" t="s">
        <v>2252</v>
      </c>
      <c r="I414" s="15">
        <v>21000</v>
      </c>
      <c r="J414" s="15">
        <v>17500</v>
      </c>
      <c r="K414" s="15">
        <v>3500</v>
      </c>
    </row>
    <row r="415" spans="1:11">
      <c r="A415" s="9">
        <f t="shared" si="6"/>
        <v>410</v>
      </c>
      <c r="B415" s="9" t="s">
        <v>1887</v>
      </c>
      <c r="C415" s="9" t="s">
        <v>53</v>
      </c>
      <c r="D415" s="9" t="s">
        <v>1195</v>
      </c>
      <c r="E415" s="9" t="s">
        <v>1953</v>
      </c>
      <c r="F415" s="9" t="s">
        <v>2488</v>
      </c>
      <c r="G415" s="9" t="s">
        <v>68</v>
      </c>
      <c r="H415" s="9" t="s">
        <v>2489</v>
      </c>
      <c r="I415" s="15">
        <v>742220</v>
      </c>
      <c r="J415" s="15">
        <v>618516.67000000004</v>
      </c>
      <c r="K415" s="15">
        <v>123703.33</v>
      </c>
    </row>
    <row r="416" spans="1:11">
      <c r="A416" s="9">
        <f t="shared" si="6"/>
        <v>411</v>
      </c>
      <c r="B416" s="9" t="s">
        <v>1887</v>
      </c>
      <c r="C416" s="9" t="s">
        <v>255</v>
      </c>
      <c r="D416" s="9" t="s">
        <v>465</v>
      </c>
      <c r="E416" s="9" t="s">
        <v>1961</v>
      </c>
      <c r="F416" s="9" t="s">
        <v>2458</v>
      </c>
      <c r="G416" s="9" t="s">
        <v>239</v>
      </c>
      <c r="H416" s="9" t="s">
        <v>2459</v>
      </c>
      <c r="I416" s="15">
        <v>263390</v>
      </c>
      <c r="J416" s="15">
        <v>0</v>
      </c>
      <c r="K416" s="15">
        <v>43898.33</v>
      </c>
    </row>
    <row r="417" spans="1:11">
      <c r="A417" s="9">
        <f t="shared" si="6"/>
        <v>412</v>
      </c>
      <c r="B417" s="9" t="s">
        <v>1887</v>
      </c>
      <c r="C417" s="9" t="s">
        <v>53</v>
      </c>
      <c r="D417" s="9" t="s">
        <v>1248</v>
      </c>
      <c r="E417" s="9" t="s">
        <v>1963</v>
      </c>
      <c r="F417" s="9" t="s">
        <v>2483</v>
      </c>
      <c r="G417" s="9" t="s">
        <v>2484</v>
      </c>
      <c r="H417" s="9" t="s">
        <v>2485</v>
      </c>
      <c r="I417" s="15">
        <v>98000</v>
      </c>
      <c r="J417" s="15">
        <v>81666.67</v>
      </c>
      <c r="K417" s="15">
        <v>16333.33</v>
      </c>
    </row>
    <row r="418" spans="1:11">
      <c r="A418" s="9">
        <f t="shared" si="6"/>
        <v>413</v>
      </c>
      <c r="B418" s="9" t="s">
        <v>1887</v>
      </c>
      <c r="C418" s="9" t="s">
        <v>255</v>
      </c>
      <c r="D418" s="9" t="s">
        <v>1370</v>
      </c>
      <c r="E418" s="9" t="s">
        <v>1963</v>
      </c>
      <c r="F418" s="9" t="s">
        <v>2458</v>
      </c>
      <c r="G418" s="9" t="s">
        <v>239</v>
      </c>
      <c r="H418" s="9" t="s">
        <v>2459</v>
      </c>
      <c r="I418" s="15">
        <v>400000</v>
      </c>
      <c r="J418" s="15">
        <v>0</v>
      </c>
      <c r="K418" s="15">
        <v>66666.67</v>
      </c>
    </row>
    <row r="419" spans="1:11">
      <c r="A419" s="9">
        <f t="shared" si="6"/>
        <v>414</v>
      </c>
      <c r="B419" s="9" t="s">
        <v>1887</v>
      </c>
      <c r="C419" s="9" t="s">
        <v>255</v>
      </c>
      <c r="D419" s="9" t="s">
        <v>476</v>
      </c>
      <c r="E419" s="9" t="s">
        <v>1963</v>
      </c>
      <c r="F419" s="9" t="s">
        <v>2488</v>
      </c>
      <c r="G419" s="9" t="s">
        <v>68</v>
      </c>
      <c r="H419" s="9" t="s">
        <v>2489</v>
      </c>
      <c r="I419" s="15">
        <v>885780</v>
      </c>
      <c r="J419" s="15">
        <v>0</v>
      </c>
      <c r="K419" s="15">
        <v>147630</v>
      </c>
    </row>
    <row r="420" spans="1:11">
      <c r="A420" s="9">
        <f t="shared" si="6"/>
        <v>415</v>
      </c>
      <c r="B420" s="9" t="s">
        <v>1887</v>
      </c>
      <c r="C420" s="9" t="s">
        <v>53</v>
      </c>
      <c r="D420" s="9" t="s">
        <v>1202</v>
      </c>
      <c r="E420" s="9" t="s">
        <v>2490</v>
      </c>
      <c r="F420" s="9" t="s">
        <v>2488</v>
      </c>
      <c r="G420" s="9" t="s">
        <v>68</v>
      </c>
      <c r="H420" s="9" t="s">
        <v>2489</v>
      </c>
      <c r="I420" s="15">
        <v>849298</v>
      </c>
      <c r="J420" s="15">
        <v>707748.33</v>
      </c>
      <c r="K420" s="15">
        <v>141549.67000000001</v>
      </c>
    </row>
    <row r="421" spans="1:11">
      <c r="A421" s="9">
        <f t="shared" si="6"/>
        <v>416</v>
      </c>
      <c r="B421" s="9" t="s">
        <v>1887</v>
      </c>
      <c r="C421" s="9" t="s">
        <v>53</v>
      </c>
      <c r="D421" s="9" t="s">
        <v>815</v>
      </c>
      <c r="E421" s="9" t="s">
        <v>2491</v>
      </c>
      <c r="F421" s="9" t="s">
        <v>2480</v>
      </c>
      <c r="G421" s="9" t="s">
        <v>2481</v>
      </c>
      <c r="H421" s="9" t="s">
        <v>2482</v>
      </c>
      <c r="I421" s="15">
        <v>18800</v>
      </c>
      <c r="J421" s="15">
        <v>15666.67</v>
      </c>
      <c r="K421" s="15">
        <v>3133.33</v>
      </c>
    </row>
    <row r="422" spans="1:11">
      <c r="A422" s="9">
        <f t="shared" si="6"/>
        <v>417</v>
      </c>
      <c r="B422" s="9" t="s">
        <v>1887</v>
      </c>
      <c r="C422" s="9" t="s">
        <v>53</v>
      </c>
      <c r="D422" s="9" t="s">
        <v>122</v>
      </c>
      <c r="E422" s="9" t="s">
        <v>2491</v>
      </c>
      <c r="F422" s="9" t="s">
        <v>2492</v>
      </c>
      <c r="G422" s="9" t="s">
        <v>79</v>
      </c>
      <c r="H422" s="9" t="s">
        <v>2493</v>
      </c>
      <c r="I422" s="15">
        <v>80325</v>
      </c>
      <c r="J422" s="15">
        <v>66937.5</v>
      </c>
      <c r="K422" s="15">
        <v>13387.5</v>
      </c>
    </row>
    <row r="423" spans="1:11">
      <c r="A423" s="9">
        <f t="shared" si="6"/>
        <v>418</v>
      </c>
      <c r="B423" s="9" t="s">
        <v>1887</v>
      </c>
      <c r="C423" s="9" t="s">
        <v>255</v>
      </c>
      <c r="D423" s="9" t="s">
        <v>768</v>
      </c>
      <c r="E423" s="9" t="s">
        <v>1973</v>
      </c>
      <c r="F423" s="9" t="s">
        <v>2458</v>
      </c>
      <c r="G423" s="9" t="s">
        <v>239</v>
      </c>
      <c r="H423" s="9" t="s">
        <v>2459</v>
      </c>
      <c r="I423" s="15">
        <v>150000</v>
      </c>
      <c r="J423" s="15">
        <v>0</v>
      </c>
      <c r="K423" s="15">
        <v>25000</v>
      </c>
    </row>
    <row r="424" spans="1:11">
      <c r="A424" s="9">
        <f t="shared" si="6"/>
        <v>419</v>
      </c>
      <c r="B424" s="9" t="s">
        <v>1887</v>
      </c>
      <c r="C424" s="9" t="s">
        <v>53</v>
      </c>
      <c r="D424" s="9" t="s">
        <v>820</v>
      </c>
      <c r="E424" s="9" t="s">
        <v>1975</v>
      </c>
      <c r="F424" s="9" t="s">
        <v>2458</v>
      </c>
      <c r="G424" s="9" t="s">
        <v>239</v>
      </c>
      <c r="H424" s="9" t="s">
        <v>2459</v>
      </c>
      <c r="I424" s="15">
        <v>910602</v>
      </c>
      <c r="J424" s="15">
        <v>758835</v>
      </c>
      <c r="K424" s="15">
        <v>151767</v>
      </c>
    </row>
    <row r="425" spans="1:11">
      <c r="A425" s="9">
        <f t="shared" si="6"/>
        <v>420</v>
      </c>
      <c r="B425" s="9" t="s">
        <v>1887</v>
      </c>
      <c r="C425" s="9" t="s">
        <v>255</v>
      </c>
      <c r="D425" s="9" t="s">
        <v>481</v>
      </c>
      <c r="E425" s="9" t="s">
        <v>1975</v>
      </c>
      <c r="F425" s="9" t="s">
        <v>2439</v>
      </c>
      <c r="G425" s="9" t="s">
        <v>864</v>
      </c>
      <c r="H425" s="9" t="s">
        <v>2440</v>
      </c>
      <c r="I425" s="15">
        <v>269614</v>
      </c>
      <c r="J425" s="15">
        <v>0</v>
      </c>
      <c r="K425" s="15">
        <v>44935.67</v>
      </c>
    </row>
    <row r="426" spans="1:11">
      <c r="A426" s="9">
        <f t="shared" si="6"/>
        <v>421</v>
      </c>
      <c r="B426" s="9" t="s">
        <v>1887</v>
      </c>
      <c r="C426" s="9" t="s">
        <v>255</v>
      </c>
      <c r="D426" s="9" t="s">
        <v>1400</v>
      </c>
      <c r="E426" s="9" t="s">
        <v>1975</v>
      </c>
      <c r="F426" s="9" t="s">
        <v>2492</v>
      </c>
      <c r="G426" s="9" t="s">
        <v>79</v>
      </c>
      <c r="H426" s="9" t="s">
        <v>2493</v>
      </c>
      <c r="I426" s="15">
        <v>515000</v>
      </c>
      <c r="J426" s="15">
        <v>0</v>
      </c>
      <c r="K426" s="15">
        <v>85833.33</v>
      </c>
    </row>
    <row r="427" spans="1:11">
      <c r="A427" s="9">
        <f t="shared" si="6"/>
        <v>422</v>
      </c>
      <c r="B427" s="9" t="s">
        <v>1887</v>
      </c>
      <c r="C427" s="9" t="s">
        <v>53</v>
      </c>
      <c r="D427" s="9" t="s">
        <v>182</v>
      </c>
      <c r="E427" s="9" t="s">
        <v>1979</v>
      </c>
      <c r="F427" s="9" t="s">
        <v>2439</v>
      </c>
      <c r="G427" s="9" t="s">
        <v>864</v>
      </c>
      <c r="H427" s="9" t="s">
        <v>2440</v>
      </c>
      <c r="I427" s="15">
        <v>460000</v>
      </c>
      <c r="J427" s="15">
        <v>383333.33</v>
      </c>
      <c r="K427" s="15">
        <v>76666.67</v>
      </c>
    </row>
    <row r="428" spans="1:11">
      <c r="A428" s="9">
        <f t="shared" si="6"/>
        <v>423</v>
      </c>
      <c r="B428" s="9" t="s">
        <v>1887</v>
      </c>
      <c r="C428" s="9" t="s">
        <v>255</v>
      </c>
      <c r="D428" s="9" t="s">
        <v>1433</v>
      </c>
      <c r="E428" s="9" t="s">
        <v>1982</v>
      </c>
      <c r="F428" s="9" t="s">
        <v>2439</v>
      </c>
      <c r="G428" s="9" t="s">
        <v>864</v>
      </c>
      <c r="H428" s="9" t="s">
        <v>2440</v>
      </c>
      <c r="I428" s="15">
        <v>1282614</v>
      </c>
      <c r="J428" s="15">
        <v>0</v>
      </c>
      <c r="K428" s="15">
        <v>213769</v>
      </c>
    </row>
    <row r="429" spans="1:11">
      <c r="A429" s="9">
        <f t="shared" si="6"/>
        <v>424</v>
      </c>
      <c r="B429" s="9" t="s">
        <v>1887</v>
      </c>
      <c r="C429" s="9" t="s">
        <v>53</v>
      </c>
      <c r="D429" s="9" t="s">
        <v>71</v>
      </c>
      <c r="E429" s="9" t="s">
        <v>2494</v>
      </c>
      <c r="F429" s="9" t="s">
        <v>2439</v>
      </c>
      <c r="G429" s="9" t="s">
        <v>864</v>
      </c>
      <c r="H429" s="9" t="s">
        <v>2440</v>
      </c>
      <c r="I429" s="15">
        <v>1656000</v>
      </c>
      <c r="J429" s="15">
        <v>1380000</v>
      </c>
      <c r="K429" s="15">
        <v>276000</v>
      </c>
    </row>
    <row r="430" spans="1:11">
      <c r="A430" s="9">
        <f t="shared" si="6"/>
        <v>425</v>
      </c>
      <c r="B430" s="9" t="s">
        <v>1887</v>
      </c>
      <c r="C430" s="9" t="s">
        <v>53</v>
      </c>
      <c r="D430" s="9" t="s">
        <v>661</v>
      </c>
      <c r="E430" s="9" t="s">
        <v>1983</v>
      </c>
      <c r="F430" s="9" t="s">
        <v>2492</v>
      </c>
      <c r="G430" s="9" t="s">
        <v>79</v>
      </c>
      <c r="H430" s="9" t="s">
        <v>2493</v>
      </c>
      <c r="I430" s="15">
        <v>529000</v>
      </c>
      <c r="J430" s="15">
        <v>440833.34</v>
      </c>
      <c r="K430" s="15">
        <v>88166.66</v>
      </c>
    </row>
    <row r="431" spans="1:11">
      <c r="A431" s="9">
        <f t="shared" si="6"/>
        <v>426</v>
      </c>
      <c r="B431" s="9" t="s">
        <v>1887</v>
      </c>
      <c r="C431" s="9" t="s">
        <v>255</v>
      </c>
      <c r="D431" s="9" t="s">
        <v>1013</v>
      </c>
      <c r="E431" s="9" t="s">
        <v>1983</v>
      </c>
      <c r="F431" s="9" t="s">
        <v>2439</v>
      </c>
      <c r="G431" s="9" t="s">
        <v>864</v>
      </c>
      <c r="H431" s="9" t="s">
        <v>2440</v>
      </c>
      <c r="I431" s="15">
        <v>494614</v>
      </c>
      <c r="J431" s="15">
        <v>0</v>
      </c>
      <c r="K431" s="15">
        <v>82435.67</v>
      </c>
    </row>
    <row r="432" spans="1:11">
      <c r="A432" s="9">
        <f t="shared" si="6"/>
        <v>427</v>
      </c>
      <c r="B432" s="9" t="s">
        <v>1887</v>
      </c>
      <c r="C432" s="9" t="s">
        <v>53</v>
      </c>
      <c r="D432" s="9" t="s">
        <v>260</v>
      </c>
      <c r="E432" s="9" t="s">
        <v>1985</v>
      </c>
      <c r="F432" s="9" t="s">
        <v>2439</v>
      </c>
      <c r="G432" s="9" t="s">
        <v>864</v>
      </c>
      <c r="H432" s="9" t="s">
        <v>2440</v>
      </c>
      <c r="I432" s="15">
        <v>801290</v>
      </c>
      <c r="J432" s="15">
        <v>667741.67000000004</v>
      </c>
      <c r="K432" s="15">
        <v>133548.32999999999</v>
      </c>
    </row>
    <row r="433" spans="1:11">
      <c r="A433" s="9">
        <f t="shared" si="6"/>
        <v>428</v>
      </c>
      <c r="B433" s="9" t="s">
        <v>1887</v>
      </c>
      <c r="C433" s="9" t="s">
        <v>255</v>
      </c>
      <c r="D433" s="9" t="s">
        <v>1052</v>
      </c>
      <c r="E433" s="9" t="s">
        <v>1988</v>
      </c>
      <c r="F433" s="9" t="s">
        <v>2402</v>
      </c>
      <c r="G433" s="9" t="s">
        <v>1727</v>
      </c>
      <c r="H433" s="9" t="s">
        <v>2403</v>
      </c>
      <c r="I433" s="15">
        <v>370000</v>
      </c>
      <c r="J433" s="15">
        <v>0</v>
      </c>
      <c r="K433" s="15">
        <v>61666.67</v>
      </c>
    </row>
    <row r="434" spans="1:11">
      <c r="A434" s="9">
        <f t="shared" si="6"/>
        <v>429</v>
      </c>
      <c r="B434" s="9" t="s">
        <v>1887</v>
      </c>
      <c r="C434" s="9" t="s">
        <v>255</v>
      </c>
      <c r="D434" s="9" t="s">
        <v>1053</v>
      </c>
      <c r="E434" s="9" t="s">
        <v>1992</v>
      </c>
      <c r="F434" s="9" t="s">
        <v>2439</v>
      </c>
      <c r="G434" s="9" t="s">
        <v>864</v>
      </c>
      <c r="H434" s="9" t="s">
        <v>2440</v>
      </c>
      <c r="I434" s="15">
        <v>914614</v>
      </c>
      <c r="J434" s="15">
        <v>0</v>
      </c>
      <c r="K434" s="15">
        <v>152435.67000000001</v>
      </c>
    </row>
    <row r="435" spans="1:11">
      <c r="A435" s="9">
        <f t="shared" si="6"/>
        <v>430</v>
      </c>
      <c r="B435" s="9" t="s">
        <v>1887</v>
      </c>
      <c r="C435" s="9" t="s">
        <v>53</v>
      </c>
      <c r="D435" s="9" t="s">
        <v>306</v>
      </c>
      <c r="E435" s="9" t="s">
        <v>1995</v>
      </c>
      <c r="F435" s="9" t="s">
        <v>2439</v>
      </c>
      <c r="G435" s="9" t="s">
        <v>864</v>
      </c>
      <c r="H435" s="9" t="s">
        <v>2440</v>
      </c>
      <c r="I435" s="15">
        <v>1840000</v>
      </c>
      <c r="J435" s="15">
        <v>1533333.33</v>
      </c>
      <c r="K435" s="15">
        <v>306666.67</v>
      </c>
    </row>
    <row r="436" spans="1:11">
      <c r="A436" s="9">
        <f t="shared" si="6"/>
        <v>431</v>
      </c>
      <c r="B436" s="9" t="s">
        <v>1887</v>
      </c>
      <c r="C436" s="9" t="s">
        <v>53</v>
      </c>
      <c r="D436" s="9" t="s">
        <v>785</v>
      </c>
      <c r="E436" s="9" t="s">
        <v>2495</v>
      </c>
      <c r="F436" s="9" t="s">
        <v>2402</v>
      </c>
      <c r="G436" s="9" t="s">
        <v>1727</v>
      </c>
      <c r="H436" s="9" t="s">
        <v>2403</v>
      </c>
      <c r="I436" s="15">
        <v>1035112</v>
      </c>
      <c r="J436" s="15">
        <v>862593.33</v>
      </c>
      <c r="K436" s="15">
        <v>172518.67</v>
      </c>
    </row>
    <row r="437" spans="1:11">
      <c r="A437" s="9">
        <f t="shared" si="6"/>
        <v>432</v>
      </c>
      <c r="B437" s="9" t="s">
        <v>1887</v>
      </c>
      <c r="C437" s="9" t="s">
        <v>255</v>
      </c>
      <c r="D437" s="9" t="s">
        <v>1134</v>
      </c>
      <c r="E437" s="9" t="s">
        <v>1998</v>
      </c>
      <c r="F437" s="9" t="s">
        <v>2402</v>
      </c>
      <c r="G437" s="9" t="s">
        <v>1727</v>
      </c>
      <c r="H437" s="9" t="s">
        <v>2403</v>
      </c>
      <c r="I437" s="15">
        <v>27824</v>
      </c>
      <c r="J437" s="15">
        <v>0</v>
      </c>
      <c r="K437" s="15">
        <v>4637.33</v>
      </c>
    </row>
    <row r="438" spans="1:11">
      <c r="A438" s="9">
        <f t="shared" si="6"/>
        <v>433</v>
      </c>
      <c r="B438" s="9" t="s">
        <v>1887</v>
      </c>
      <c r="C438" s="9" t="s">
        <v>255</v>
      </c>
      <c r="D438" s="9" t="s">
        <v>1083</v>
      </c>
      <c r="E438" s="9" t="s">
        <v>1998</v>
      </c>
      <c r="F438" s="9" t="s">
        <v>2458</v>
      </c>
      <c r="G438" s="9" t="s">
        <v>239</v>
      </c>
      <c r="H438" s="9" t="s">
        <v>2459</v>
      </c>
      <c r="I438" s="15">
        <v>500000</v>
      </c>
      <c r="J438" s="15">
        <v>0</v>
      </c>
      <c r="K438" s="15">
        <v>83333.33</v>
      </c>
    </row>
    <row r="439" spans="1:11">
      <c r="A439" s="9">
        <f t="shared" si="6"/>
        <v>434</v>
      </c>
      <c r="B439" s="9" t="s">
        <v>1887</v>
      </c>
      <c r="C439" s="9" t="s">
        <v>255</v>
      </c>
      <c r="D439" s="9" t="s">
        <v>1135</v>
      </c>
      <c r="E439" s="9" t="s">
        <v>2000</v>
      </c>
      <c r="F439" s="9" t="s">
        <v>2445</v>
      </c>
      <c r="G439" s="9" t="s">
        <v>2446</v>
      </c>
      <c r="H439" s="9" t="s">
        <v>2447</v>
      </c>
      <c r="I439" s="15">
        <v>5250</v>
      </c>
      <c r="J439" s="15">
        <v>0</v>
      </c>
      <c r="K439" s="15">
        <v>875</v>
      </c>
    </row>
    <row r="440" spans="1:11">
      <c r="A440" s="9">
        <f t="shared" si="6"/>
        <v>435</v>
      </c>
      <c r="B440" s="9" t="s">
        <v>1887</v>
      </c>
      <c r="C440" s="9" t="s">
        <v>53</v>
      </c>
      <c r="D440" s="9" t="s">
        <v>2292</v>
      </c>
      <c r="E440" s="9" t="s">
        <v>2002</v>
      </c>
      <c r="F440" s="9" t="s">
        <v>2483</v>
      </c>
      <c r="G440" s="9" t="s">
        <v>2484</v>
      </c>
      <c r="H440" s="9" t="s">
        <v>2485</v>
      </c>
      <c r="I440" s="15">
        <v>940000</v>
      </c>
      <c r="J440" s="15">
        <v>783333.33</v>
      </c>
      <c r="K440" s="15">
        <v>156666.67000000001</v>
      </c>
    </row>
    <row r="441" spans="1:11">
      <c r="A441" s="9">
        <f t="shared" si="6"/>
        <v>436</v>
      </c>
      <c r="B441" s="9" t="s">
        <v>1887</v>
      </c>
      <c r="C441" s="9" t="s">
        <v>255</v>
      </c>
      <c r="D441" s="9" t="s">
        <v>1099</v>
      </c>
      <c r="E441" s="9" t="s">
        <v>2002</v>
      </c>
      <c r="F441" s="9" t="s">
        <v>2483</v>
      </c>
      <c r="G441" s="9" t="s">
        <v>2484</v>
      </c>
      <c r="H441" s="9" t="s">
        <v>2485</v>
      </c>
      <c r="I441" s="15">
        <v>5200</v>
      </c>
      <c r="J441" s="15">
        <v>0</v>
      </c>
      <c r="K441" s="15">
        <v>866.67</v>
      </c>
    </row>
    <row r="442" spans="1:11">
      <c r="A442" s="9">
        <f t="shared" si="6"/>
        <v>437</v>
      </c>
      <c r="B442" s="9" t="s">
        <v>1887</v>
      </c>
      <c r="C442" s="9" t="s">
        <v>53</v>
      </c>
      <c r="D442" s="9" t="s">
        <v>439</v>
      </c>
      <c r="E442" s="9" t="s">
        <v>2004</v>
      </c>
      <c r="F442" s="9" t="s">
        <v>2483</v>
      </c>
      <c r="G442" s="9" t="s">
        <v>2484</v>
      </c>
      <c r="H442" s="9" t="s">
        <v>2485</v>
      </c>
      <c r="I442" s="15">
        <v>940000</v>
      </c>
      <c r="J442" s="15">
        <v>783333.33</v>
      </c>
      <c r="K442" s="15">
        <v>156666.67000000001</v>
      </c>
    </row>
    <row r="443" spans="1:11">
      <c r="A443" s="9">
        <f t="shared" si="6"/>
        <v>438</v>
      </c>
      <c r="B443" s="9" t="s">
        <v>1887</v>
      </c>
      <c r="C443" s="9" t="s">
        <v>53</v>
      </c>
      <c r="D443" s="9" t="s">
        <v>2295</v>
      </c>
      <c r="E443" s="9" t="s">
        <v>2006</v>
      </c>
      <c r="F443" s="9" t="s">
        <v>2483</v>
      </c>
      <c r="G443" s="9" t="s">
        <v>2484</v>
      </c>
      <c r="H443" s="9" t="s">
        <v>2485</v>
      </c>
      <c r="I443" s="15">
        <v>1889000</v>
      </c>
      <c r="J443" s="15">
        <v>1574166.67</v>
      </c>
      <c r="K443" s="15">
        <v>314833.33</v>
      </c>
    </row>
    <row r="444" spans="1:11">
      <c r="A444" s="9">
        <f t="shared" si="6"/>
        <v>439</v>
      </c>
      <c r="B444" s="9" t="s">
        <v>2012</v>
      </c>
      <c r="C444" s="9" t="s">
        <v>53</v>
      </c>
      <c r="D444" s="9" t="s">
        <v>679</v>
      </c>
      <c r="E444" s="9" t="s">
        <v>2014</v>
      </c>
      <c r="F444" s="9" t="s">
        <v>2445</v>
      </c>
      <c r="G444" s="9" t="s">
        <v>2446</v>
      </c>
      <c r="H444" s="9" t="s">
        <v>2447</v>
      </c>
      <c r="I444" s="15">
        <v>5250</v>
      </c>
      <c r="J444" s="15">
        <v>4375</v>
      </c>
      <c r="K444" s="15">
        <v>875</v>
      </c>
    </row>
    <row r="445" spans="1:11">
      <c r="A445" s="9">
        <f t="shared" si="6"/>
        <v>440</v>
      </c>
      <c r="B445" s="9" t="s">
        <v>2012</v>
      </c>
      <c r="C445" s="9" t="s">
        <v>255</v>
      </c>
      <c r="D445" s="9" t="s">
        <v>1101</v>
      </c>
      <c r="E445" s="9" t="s">
        <v>2022</v>
      </c>
      <c r="F445" s="9" t="s">
        <v>2458</v>
      </c>
      <c r="G445" s="9" t="s">
        <v>239</v>
      </c>
      <c r="H445" s="9" t="s">
        <v>2459</v>
      </c>
      <c r="I445" s="15">
        <v>400000</v>
      </c>
      <c r="J445" s="15">
        <v>0</v>
      </c>
      <c r="K445" s="15">
        <v>66666.67</v>
      </c>
    </row>
    <row r="446" spans="1:11">
      <c r="A446" s="9">
        <f t="shared" si="6"/>
        <v>441</v>
      </c>
      <c r="B446" s="9" t="s">
        <v>2012</v>
      </c>
      <c r="C446" s="9" t="s">
        <v>255</v>
      </c>
      <c r="D446" s="9" t="s">
        <v>1112</v>
      </c>
      <c r="E446" s="9" t="s">
        <v>2020</v>
      </c>
      <c r="F446" s="9" t="s">
        <v>2402</v>
      </c>
      <c r="G446" s="9" t="s">
        <v>1727</v>
      </c>
      <c r="H446" s="9" t="s">
        <v>2403</v>
      </c>
      <c r="I446" s="15">
        <v>315000</v>
      </c>
      <c r="J446" s="15">
        <v>0</v>
      </c>
      <c r="K446" s="15">
        <v>52500</v>
      </c>
    </row>
    <row r="447" spans="1:11">
      <c r="A447" s="9">
        <f t="shared" si="6"/>
        <v>442</v>
      </c>
      <c r="B447" s="9" t="s">
        <v>2012</v>
      </c>
      <c r="C447" s="9" t="s">
        <v>53</v>
      </c>
      <c r="D447" s="9" t="s">
        <v>2357</v>
      </c>
      <c r="E447" s="9" t="s">
        <v>2496</v>
      </c>
      <c r="F447" s="9" t="s">
        <v>2458</v>
      </c>
      <c r="G447" s="9" t="s">
        <v>239</v>
      </c>
      <c r="H447" s="9" t="s">
        <v>2459</v>
      </c>
      <c r="I447" s="15">
        <v>1001308</v>
      </c>
      <c r="J447" s="15">
        <v>834423.33</v>
      </c>
      <c r="K447" s="15">
        <v>166884.67000000001</v>
      </c>
    </row>
    <row r="448" spans="1:11">
      <c r="A448" s="9">
        <f t="shared" si="6"/>
        <v>443</v>
      </c>
      <c r="B448" s="9" t="s">
        <v>2012</v>
      </c>
      <c r="C448" s="9" t="s">
        <v>53</v>
      </c>
      <c r="D448" s="9" t="s">
        <v>127</v>
      </c>
      <c r="E448" s="9" t="s">
        <v>2027</v>
      </c>
      <c r="F448" s="9" t="s">
        <v>2402</v>
      </c>
      <c r="G448" s="9" t="s">
        <v>1727</v>
      </c>
      <c r="H448" s="9" t="s">
        <v>2403</v>
      </c>
      <c r="I448" s="15">
        <v>315000</v>
      </c>
      <c r="J448" s="15">
        <v>262500</v>
      </c>
      <c r="K448" s="15">
        <v>52500</v>
      </c>
    </row>
    <row r="449" spans="1:11">
      <c r="A449" s="9">
        <f t="shared" si="6"/>
        <v>444</v>
      </c>
      <c r="B449" s="9" t="s">
        <v>2012</v>
      </c>
      <c r="C449" s="9" t="s">
        <v>255</v>
      </c>
      <c r="D449" s="9" t="s">
        <v>1129</v>
      </c>
      <c r="E449" s="9" t="s">
        <v>2032</v>
      </c>
      <c r="F449" s="9" t="s">
        <v>2384</v>
      </c>
      <c r="G449" s="9" t="s">
        <v>2233</v>
      </c>
      <c r="H449" s="9" t="s">
        <v>2385</v>
      </c>
      <c r="I449" s="15">
        <v>1000000</v>
      </c>
      <c r="J449" s="15">
        <v>0</v>
      </c>
      <c r="K449" s="15">
        <v>166666.67000000001</v>
      </c>
    </row>
    <row r="450" spans="1:11">
      <c r="A450" s="9">
        <f t="shared" si="6"/>
        <v>445</v>
      </c>
      <c r="B450" s="9" t="s">
        <v>2012</v>
      </c>
      <c r="C450" s="9" t="s">
        <v>53</v>
      </c>
      <c r="D450" s="9" t="s">
        <v>2300</v>
      </c>
      <c r="E450" s="9" t="s">
        <v>2061</v>
      </c>
      <c r="F450" s="9" t="s">
        <v>2497</v>
      </c>
      <c r="G450" s="9" t="s">
        <v>2498</v>
      </c>
      <c r="H450" s="9" t="s">
        <v>2499</v>
      </c>
      <c r="I450" s="15">
        <v>1050000</v>
      </c>
      <c r="J450" s="15">
        <v>875000</v>
      </c>
      <c r="K450" s="15">
        <v>175000</v>
      </c>
    </row>
    <row r="451" spans="1:11">
      <c r="A451" s="9">
        <f t="shared" si="6"/>
        <v>446</v>
      </c>
      <c r="B451" s="9" t="s">
        <v>2012</v>
      </c>
      <c r="C451" s="9" t="s">
        <v>255</v>
      </c>
      <c r="D451" s="9" t="s">
        <v>1132</v>
      </c>
      <c r="E451" s="9" t="s">
        <v>2061</v>
      </c>
      <c r="F451" s="9" t="s">
        <v>2267</v>
      </c>
      <c r="G451" s="9" t="s">
        <v>2268</v>
      </c>
      <c r="H451" s="9" t="s">
        <v>2269</v>
      </c>
      <c r="I451" s="15">
        <v>150000</v>
      </c>
      <c r="J451" s="15">
        <v>0</v>
      </c>
      <c r="K451" s="15">
        <v>25000</v>
      </c>
    </row>
    <row r="452" spans="1:11">
      <c r="A452" s="9">
        <f t="shared" si="6"/>
        <v>447</v>
      </c>
      <c r="B452" s="9" t="s">
        <v>2012</v>
      </c>
      <c r="C452" s="9" t="s">
        <v>53</v>
      </c>
      <c r="D452" s="9" t="s">
        <v>835</v>
      </c>
      <c r="E452" s="9" t="s">
        <v>2026</v>
      </c>
      <c r="F452" s="9" t="s">
        <v>2384</v>
      </c>
      <c r="G452" s="9" t="s">
        <v>2233</v>
      </c>
      <c r="H452" s="9" t="s">
        <v>2385</v>
      </c>
      <c r="I452" s="15">
        <v>1920000</v>
      </c>
      <c r="J452" s="15">
        <v>1600000</v>
      </c>
      <c r="K452" s="15">
        <v>320000</v>
      </c>
    </row>
    <row r="453" spans="1:11">
      <c r="A453" s="9">
        <f t="shared" si="6"/>
        <v>448</v>
      </c>
      <c r="B453" s="9" t="s">
        <v>2012</v>
      </c>
      <c r="C453" s="9" t="s">
        <v>53</v>
      </c>
      <c r="D453" s="9" t="s">
        <v>323</v>
      </c>
      <c r="E453" s="9" t="s">
        <v>2029</v>
      </c>
      <c r="F453" s="9" t="s">
        <v>2402</v>
      </c>
      <c r="G453" s="9" t="s">
        <v>1727</v>
      </c>
      <c r="H453" s="9" t="s">
        <v>2403</v>
      </c>
      <c r="I453" s="15">
        <v>1748000</v>
      </c>
      <c r="J453" s="15">
        <v>1456666.67</v>
      </c>
      <c r="K453" s="15">
        <v>291333.33</v>
      </c>
    </row>
    <row r="454" spans="1:11">
      <c r="A454" s="9">
        <f t="shared" si="6"/>
        <v>449</v>
      </c>
      <c r="B454" s="9" t="s">
        <v>2012</v>
      </c>
      <c r="C454" s="9" t="s">
        <v>53</v>
      </c>
      <c r="D454" s="9" t="s">
        <v>1933</v>
      </c>
      <c r="E454" s="9" t="s">
        <v>2029</v>
      </c>
      <c r="F454" s="9" t="s">
        <v>895</v>
      </c>
      <c r="G454" s="9" t="s">
        <v>896</v>
      </c>
      <c r="H454" s="9" t="s">
        <v>897</v>
      </c>
      <c r="I454" s="15">
        <v>14700</v>
      </c>
      <c r="J454" s="15">
        <v>12250</v>
      </c>
      <c r="K454" s="15">
        <v>2450</v>
      </c>
    </row>
    <row r="455" spans="1:11">
      <c r="A455" s="9">
        <f t="shared" ref="A455:A518" si="7">A454+1</f>
        <v>450</v>
      </c>
      <c r="B455" s="9" t="s">
        <v>2012</v>
      </c>
      <c r="C455" s="9" t="s">
        <v>255</v>
      </c>
      <c r="D455" s="9" t="s">
        <v>1152</v>
      </c>
      <c r="E455" s="9" t="s">
        <v>2029</v>
      </c>
      <c r="F455" s="9" t="s">
        <v>2402</v>
      </c>
      <c r="G455" s="9" t="s">
        <v>1727</v>
      </c>
      <c r="H455" s="9" t="s">
        <v>2403</v>
      </c>
      <c r="I455" s="15">
        <v>119824</v>
      </c>
      <c r="J455" s="15">
        <v>0</v>
      </c>
      <c r="K455" s="15">
        <v>19970.669999999998</v>
      </c>
    </row>
    <row r="456" spans="1:11">
      <c r="A456" s="9">
        <f t="shared" si="7"/>
        <v>451</v>
      </c>
      <c r="B456" s="9" t="s">
        <v>2012</v>
      </c>
      <c r="C456" s="9" t="s">
        <v>255</v>
      </c>
      <c r="D456" s="9" t="s">
        <v>1158</v>
      </c>
      <c r="E456" s="9" t="s">
        <v>2042</v>
      </c>
      <c r="F456" s="9" t="s">
        <v>2492</v>
      </c>
      <c r="G456" s="9" t="s">
        <v>79</v>
      </c>
      <c r="H456" s="9" t="s">
        <v>2493</v>
      </c>
      <c r="I456" s="15">
        <v>434000</v>
      </c>
      <c r="J456" s="15">
        <v>0</v>
      </c>
      <c r="K456" s="15">
        <v>72333.33</v>
      </c>
    </row>
    <row r="457" spans="1:11">
      <c r="A457" s="9">
        <f t="shared" si="7"/>
        <v>452</v>
      </c>
      <c r="B457" s="9" t="s">
        <v>2012</v>
      </c>
      <c r="C457" s="9" t="s">
        <v>255</v>
      </c>
      <c r="D457" s="9" t="s">
        <v>1160</v>
      </c>
      <c r="E457" s="9" t="s">
        <v>2065</v>
      </c>
      <c r="F457" s="9" t="s">
        <v>757</v>
      </c>
      <c r="G457" s="9" t="s">
        <v>758</v>
      </c>
      <c r="H457" s="9" t="s">
        <v>759</v>
      </c>
      <c r="I457" s="15">
        <v>444000</v>
      </c>
      <c r="J457" s="15">
        <v>0</v>
      </c>
      <c r="K457" s="15">
        <v>74000</v>
      </c>
    </row>
    <row r="458" spans="1:11">
      <c r="A458" s="9">
        <f t="shared" si="7"/>
        <v>453</v>
      </c>
      <c r="B458" s="9" t="s">
        <v>2012</v>
      </c>
      <c r="C458" s="9" t="s">
        <v>255</v>
      </c>
      <c r="D458" s="9" t="s">
        <v>1162</v>
      </c>
      <c r="E458" s="9" t="s">
        <v>2065</v>
      </c>
      <c r="F458" s="9" t="s">
        <v>2458</v>
      </c>
      <c r="G458" s="9" t="s">
        <v>239</v>
      </c>
      <c r="H458" s="9" t="s">
        <v>2459</v>
      </c>
      <c r="I458" s="15">
        <v>700000</v>
      </c>
      <c r="J458" s="15">
        <v>0</v>
      </c>
      <c r="K458" s="15">
        <v>116666.67</v>
      </c>
    </row>
    <row r="459" spans="1:11">
      <c r="A459" s="9">
        <f t="shared" si="7"/>
        <v>454</v>
      </c>
      <c r="B459" s="9" t="s">
        <v>2012</v>
      </c>
      <c r="C459" s="9" t="s">
        <v>255</v>
      </c>
      <c r="D459" s="9" t="s">
        <v>1576</v>
      </c>
      <c r="E459" s="9" t="s">
        <v>2041</v>
      </c>
      <c r="F459" s="9" t="s">
        <v>2402</v>
      </c>
      <c r="G459" s="9" t="s">
        <v>1727</v>
      </c>
      <c r="H459" s="9" t="s">
        <v>2403</v>
      </c>
      <c r="I459" s="15">
        <v>1000000</v>
      </c>
      <c r="J459" s="15">
        <v>0</v>
      </c>
      <c r="K459" s="15">
        <v>166666.67000000001</v>
      </c>
    </row>
    <row r="460" spans="1:11">
      <c r="A460" s="9">
        <f t="shared" si="7"/>
        <v>455</v>
      </c>
      <c r="B460" s="9" t="s">
        <v>2012</v>
      </c>
      <c r="C460" s="9" t="s">
        <v>53</v>
      </c>
      <c r="D460" s="9" t="s">
        <v>886</v>
      </c>
      <c r="E460" s="9" t="s">
        <v>2044</v>
      </c>
      <c r="F460" s="9" t="s">
        <v>2492</v>
      </c>
      <c r="G460" s="9" t="s">
        <v>79</v>
      </c>
      <c r="H460" s="9" t="s">
        <v>2493</v>
      </c>
      <c r="I460" s="15">
        <v>420000</v>
      </c>
      <c r="J460" s="15">
        <v>350000</v>
      </c>
      <c r="K460" s="15">
        <v>70000</v>
      </c>
    </row>
    <row r="461" spans="1:11">
      <c r="A461" s="9">
        <f t="shared" si="7"/>
        <v>456</v>
      </c>
      <c r="B461" s="9" t="s">
        <v>2012</v>
      </c>
      <c r="C461" s="9" t="s">
        <v>53</v>
      </c>
      <c r="D461" s="9" t="s">
        <v>653</v>
      </c>
      <c r="E461" s="9" t="s">
        <v>2044</v>
      </c>
      <c r="F461" s="9" t="s">
        <v>2492</v>
      </c>
      <c r="G461" s="9" t="s">
        <v>79</v>
      </c>
      <c r="H461" s="9" t="s">
        <v>2493</v>
      </c>
      <c r="I461" s="15">
        <v>14000</v>
      </c>
      <c r="J461" s="15">
        <v>11666.67</v>
      </c>
      <c r="K461" s="15">
        <v>2333.33</v>
      </c>
    </row>
    <row r="462" spans="1:11">
      <c r="A462" s="9">
        <f t="shared" si="7"/>
        <v>457</v>
      </c>
      <c r="B462" s="9" t="s">
        <v>2012</v>
      </c>
      <c r="C462" s="9" t="s">
        <v>255</v>
      </c>
      <c r="D462" s="9" t="s">
        <v>1561</v>
      </c>
      <c r="E462" s="9" t="s">
        <v>2046</v>
      </c>
      <c r="F462" s="9" t="s">
        <v>2445</v>
      </c>
      <c r="G462" s="9" t="s">
        <v>2446</v>
      </c>
      <c r="H462" s="9" t="s">
        <v>2447</v>
      </c>
      <c r="I462" s="15">
        <v>252000</v>
      </c>
      <c r="J462" s="15">
        <v>0</v>
      </c>
      <c r="K462" s="15">
        <v>42000</v>
      </c>
    </row>
    <row r="463" spans="1:11">
      <c r="A463" s="9">
        <f t="shared" si="7"/>
        <v>458</v>
      </c>
      <c r="B463" s="9" t="s">
        <v>2012</v>
      </c>
      <c r="C463" s="9" t="s">
        <v>53</v>
      </c>
      <c r="D463" s="9" t="s">
        <v>2306</v>
      </c>
      <c r="E463" s="9" t="s">
        <v>2048</v>
      </c>
      <c r="F463" s="9" t="s">
        <v>2402</v>
      </c>
      <c r="G463" s="9" t="s">
        <v>1727</v>
      </c>
      <c r="H463" s="9" t="s">
        <v>2403</v>
      </c>
      <c r="I463" s="15">
        <v>1045360</v>
      </c>
      <c r="J463" s="15">
        <v>871133.33</v>
      </c>
      <c r="K463" s="15">
        <v>174226.67</v>
      </c>
    </row>
    <row r="464" spans="1:11">
      <c r="A464" s="9">
        <f t="shared" si="7"/>
        <v>459</v>
      </c>
      <c r="B464" s="9" t="s">
        <v>2012</v>
      </c>
      <c r="C464" s="9" t="s">
        <v>255</v>
      </c>
      <c r="D464" s="9" t="s">
        <v>1566</v>
      </c>
      <c r="E464" s="9" t="s">
        <v>2048</v>
      </c>
      <c r="F464" s="9" t="s">
        <v>2402</v>
      </c>
      <c r="G464" s="9" t="s">
        <v>1727</v>
      </c>
      <c r="H464" s="9" t="s">
        <v>2403</v>
      </c>
      <c r="I464" s="15">
        <v>810000</v>
      </c>
      <c r="J464" s="15">
        <v>0</v>
      </c>
      <c r="K464" s="15">
        <v>135000</v>
      </c>
    </row>
    <row r="465" spans="1:11">
      <c r="A465" s="9">
        <f t="shared" si="7"/>
        <v>460</v>
      </c>
      <c r="B465" s="9" t="s">
        <v>2012</v>
      </c>
      <c r="C465" s="9" t="s">
        <v>255</v>
      </c>
      <c r="D465" s="9" t="s">
        <v>1577</v>
      </c>
      <c r="E465" s="9" t="s">
        <v>2048</v>
      </c>
      <c r="F465" s="9" t="s">
        <v>2402</v>
      </c>
      <c r="G465" s="9" t="s">
        <v>1727</v>
      </c>
      <c r="H465" s="9" t="s">
        <v>2403</v>
      </c>
      <c r="I465" s="15">
        <v>1840000</v>
      </c>
      <c r="J465" s="15">
        <v>0</v>
      </c>
      <c r="K465" s="15">
        <v>306666.67</v>
      </c>
    </row>
    <row r="466" spans="1:11">
      <c r="A466" s="9">
        <f t="shared" si="7"/>
        <v>461</v>
      </c>
      <c r="B466" s="9" t="s">
        <v>2012</v>
      </c>
      <c r="C466" s="9" t="s">
        <v>53</v>
      </c>
      <c r="D466" s="9" t="s">
        <v>1986</v>
      </c>
      <c r="E466" s="9" t="s">
        <v>2050</v>
      </c>
      <c r="F466" s="9" t="s">
        <v>2445</v>
      </c>
      <c r="G466" s="9" t="s">
        <v>2446</v>
      </c>
      <c r="H466" s="9" t="s">
        <v>2447</v>
      </c>
      <c r="I466" s="15">
        <v>210000</v>
      </c>
      <c r="J466" s="15">
        <v>175000</v>
      </c>
      <c r="K466" s="15">
        <v>35000</v>
      </c>
    </row>
    <row r="467" spans="1:11">
      <c r="A467" s="9">
        <f t="shared" si="7"/>
        <v>462</v>
      </c>
      <c r="B467" s="9" t="s">
        <v>2012</v>
      </c>
      <c r="C467" s="9" t="s">
        <v>53</v>
      </c>
      <c r="D467" s="9" t="s">
        <v>1390</v>
      </c>
      <c r="E467" s="9" t="s">
        <v>2054</v>
      </c>
      <c r="F467" s="9" t="s">
        <v>2402</v>
      </c>
      <c r="G467" s="9" t="s">
        <v>1727</v>
      </c>
      <c r="H467" s="9" t="s">
        <v>2403</v>
      </c>
      <c r="I467" s="15">
        <v>1824912</v>
      </c>
      <c r="J467" s="15">
        <v>1520760</v>
      </c>
      <c r="K467" s="15">
        <v>304152</v>
      </c>
    </row>
    <row r="468" spans="1:11">
      <c r="A468" s="9">
        <f t="shared" si="7"/>
        <v>463</v>
      </c>
      <c r="B468" s="9" t="s">
        <v>2012</v>
      </c>
      <c r="C468" s="9" t="s">
        <v>53</v>
      </c>
      <c r="D468" s="9" t="s">
        <v>1216</v>
      </c>
      <c r="E468" s="9" t="s">
        <v>2063</v>
      </c>
      <c r="F468" s="9" t="s">
        <v>2402</v>
      </c>
      <c r="G468" s="9" t="s">
        <v>1727</v>
      </c>
      <c r="H468" s="9" t="s">
        <v>2403</v>
      </c>
      <c r="I468" s="15">
        <v>764346</v>
      </c>
      <c r="J468" s="15">
        <v>636955</v>
      </c>
      <c r="K468" s="15">
        <v>127391</v>
      </c>
    </row>
    <row r="469" spans="1:11">
      <c r="A469" s="9">
        <f t="shared" si="7"/>
        <v>464</v>
      </c>
      <c r="B469" s="9" t="s">
        <v>2012</v>
      </c>
      <c r="C469" s="9" t="s">
        <v>53</v>
      </c>
      <c r="D469" s="9" t="s">
        <v>681</v>
      </c>
      <c r="E469" s="9" t="s">
        <v>2063</v>
      </c>
      <c r="F469" s="9" t="s">
        <v>2267</v>
      </c>
      <c r="G469" s="9" t="s">
        <v>2268</v>
      </c>
      <c r="H469" s="9" t="s">
        <v>2269</v>
      </c>
      <c r="I469" s="15">
        <v>1109162</v>
      </c>
      <c r="J469" s="15">
        <v>924301.66</v>
      </c>
      <c r="K469" s="15">
        <v>184860.34</v>
      </c>
    </row>
    <row r="470" spans="1:11">
      <c r="A470" s="9">
        <f t="shared" si="7"/>
        <v>465</v>
      </c>
      <c r="B470" s="9" t="s">
        <v>2012</v>
      </c>
      <c r="C470" s="9" t="s">
        <v>255</v>
      </c>
      <c r="D470" s="9" t="s">
        <v>1606</v>
      </c>
      <c r="E470" s="9" t="s">
        <v>2064</v>
      </c>
      <c r="F470" s="9" t="s">
        <v>2445</v>
      </c>
      <c r="G470" s="9" t="s">
        <v>2446</v>
      </c>
      <c r="H470" s="9" t="s">
        <v>2447</v>
      </c>
      <c r="I470" s="15">
        <v>483000</v>
      </c>
      <c r="J470" s="15">
        <v>0</v>
      </c>
      <c r="K470" s="15">
        <v>80500</v>
      </c>
    </row>
    <row r="471" spans="1:11">
      <c r="A471" s="9">
        <f t="shared" si="7"/>
        <v>466</v>
      </c>
      <c r="B471" s="9" t="s">
        <v>2012</v>
      </c>
      <c r="C471" s="9" t="s">
        <v>255</v>
      </c>
      <c r="D471" s="9" t="s">
        <v>1607</v>
      </c>
      <c r="E471" s="9" t="s">
        <v>2064</v>
      </c>
      <c r="F471" s="9" t="s">
        <v>2492</v>
      </c>
      <c r="G471" s="9" t="s">
        <v>79</v>
      </c>
      <c r="H471" s="9" t="s">
        <v>2493</v>
      </c>
      <c r="I471" s="15">
        <v>930000</v>
      </c>
      <c r="J471" s="15">
        <v>0</v>
      </c>
      <c r="K471" s="15">
        <v>155000</v>
      </c>
    </row>
    <row r="472" spans="1:11">
      <c r="A472" s="9">
        <f t="shared" si="7"/>
        <v>467</v>
      </c>
      <c r="B472" s="9" t="s">
        <v>2012</v>
      </c>
      <c r="C472" s="9" t="s">
        <v>53</v>
      </c>
      <c r="D472" s="9" t="s">
        <v>2309</v>
      </c>
      <c r="E472" s="9" t="s">
        <v>2500</v>
      </c>
      <c r="F472" s="9" t="s">
        <v>2492</v>
      </c>
      <c r="G472" s="9" t="s">
        <v>79</v>
      </c>
      <c r="H472" s="9" t="s">
        <v>2493</v>
      </c>
      <c r="I472" s="15">
        <v>1980000</v>
      </c>
      <c r="J472" s="15">
        <v>1650000</v>
      </c>
      <c r="K472" s="15">
        <v>330000</v>
      </c>
    </row>
    <row r="473" spans="1:11">
      <c r="A473" s="9">
        <f t="shared" si="7"/>
        <v>468</v>
      </c>
      <c r="B473" s="9" t="s">
        <v>2012</v>
      </c>
      <c r="C473" s="9" t="s">
        <v>53</v>
      </c>
      <c r="D473" s="9" t="s">
        <v>2316</v>
      </c>
      <c r="E473" s="9" t="s">
        <v>2500</v>
      </c>
      <c r="F473" s="9" t="s">
        <v>2445</v>
      </c>
      <c r="G473" s="9" t="s">
        <v>2446</v>
      </c>
      <c r="H473" s="9" t="s">
        <v>2447</v>
      </c>
      <c r="I473" s="15">
        <v>525000</v>
      </c>
      <c r="J473" s="15">
        <v>437500</v>
      </c>
      <c r="K473" s="15">
        <v>87500</v>
      </c>
    </row>
    <row r="474" spans="1:11">
      <c r="A474" s="9">
        <f t="shared" si="7"/>
        <v>469</v>
      </c>
      <c r="B474" s="9" t="s">
        <v>2012</v>
      </c>
      <c r="C474" s="9" t="s">
        <v>53</v>
      </c>
      <c r="D474" s="9" t="s">
        <v>340</v>
      </c>
      <c r="E474" s="9" t="s">
        <v>2501</v>
      </c>
      <c r="F474" s="9" t="s">
        <v>757</v>
      </c>
      <c r="G474" s="9" t="s">
        <v>758</v>
      </c>
      <c r="H474" s="9" t="s">
        <v>759</v>
      </c>
      <c r="I474" s="15">
        <v>701280</v>
      </c>
      <c r="J474" s="15">
        <v>584400</v>
      </c>
      <c r="K474" s="15">
        <v>116880</v>
      </c>
    </row>
    <row r="475" spans="1:11">
      <c r="A475" s="9">
        <f t="shared" si="7"/>
        <v>470</v>
      </c>
      <c r="B475" s="9" t="s">
        <v>2012</v>
      </c>
      <c r="C475" s="9" t="s">
        <v>53</v>
      </c>
      <c r="D475" s="9" t="s">
        <v>1468</v>
      </c>
      <c r="E475" s="9" t="s">
        <v>2502</v>
      </c>
      <c r="F475" s="9" t="s">
        <v>2458</v>
      </c>
      <c r="G475" s="9" t="s">
        <v>239</v>
      </c>
      <c r="H475" s="9" t="s">
        <v>2459</v>
      </c>
      <c r="I475" s="15">
        <v>763224</v>
      </c>
      <c r="J475" s="15">
        <v>636020</v>
      </c>
      <c r="K475" s="15">
        <v>127204</v>
      </c>
    </row>
    <row r="476" spans="1:11">
      <c r="A476" s="9">
        <f t="shared" si="7"/>
        <v>471</v>
      </c>
      <c r="B476" s="9" t="s">
        <v>2012</v>
      </c>
      <c r="C476" s="9" t="s">
        <v>53</v>
      </c>
      <c r="D476" s="9" t="s">
        <v>2311</v>
      </c>
      <c r="E476" s="9" t="s">
        <v>2075</v>
      </c>
      <c r="F476" s="9" t="s">
        <v>2480</v>
      </c>
      <c r="G476" s="9" t="s">
        <v>2481</v>
      </c>
      <c r="H476" s="9" t="s">
        <v>2482</v>
      </c>
      <c r="I476" s="15">
        <v>1864020</v>
      </c>
      <c r="J476" s="15">
        <v>1553350</v>
      </c>
      <c r="K476" s="15">
        <v>310670</v>
      </c>
    </row>
    <row r="477" spans="1:11">
      <c r="A477" s="9">
        <f t="shared" si="7"/>
        <v>472</v>
      </c>
      <c r="B477" s="9" t="s">
        <v>2012</v>
      </c>
      <c r="C477" s="9" t="s">
        <v>255</v>
      </c>
      <c r="D477" s="9" t="s">
        <v>1658</v>
      </c>
      <c r="E477" s="9" t="s">
        <v>2075</v>
      </c>
      <c r="F477" s="9" t="s">
        <v>757</v>
      </c>
      <c r="G477" s="9" t="s">
        <v>758</v>
      </c>
      <c r="H477" s="9" t="s">
        <v>759</v>
      </c>
      <c r="I477" s="15">
        <v>444000</v>
      </c>
      <c r="J477" s="15">
        <v>0</v>
      </c>
      <c r="K477" s="15">
        <v>74000</v>
      </c>
    </row>
    <row r="478" spans="1:11">
      <c r="A478" s="9">
        <f t="shared" si="7"/>
        <v>473</v>
      </c>
      <c r="B478" s="9" t="s">
        <v>2012</v>
      </c>
      <c r="C478" s="9" t="s">
        <v>255</v>
      </c>
      <c r="D478" s="9" t="s">
        <v>1638</v>
      </c>
      <c r="E478" s="9" t="s">
        <v>2075</v>
      </c>
      <c r="F478" s="9" t="s">
        <v>2402</v>
      </c>
      <c r="G478" s="9" t="s">
        <v>1727</v>
      </c>
      <c r="H478" s="9" t="s">
        <v>2403</v>
      </c>
      <c r="I478" s="15">
        <v>1820000</v>
      </c>
      <c r="J478" s="15">
        <v>0</v>
      </c>
      <c r="K478" s="15">
        <v>303333.33</v>
      </c>
    </row>
    <row r="479" spans="1:11">
      <c r="A479" s="9">
        <f t="shared" si="7"/>
        <v>474</v>
      </c>
      <c r="B479" s="9" t="s">
        <v>2012</v>
      </c>
      <c r="C479" s="9" t="s">
        <v>53</v>
      </c>
      <c r="D479" s="9" t="s">
        <v>199</v>
      </c>
      <c r="E479" s="9" t="s">
        <v>2503</v>
      </c>
      <c r="F479" s="9" t="s">
        <v>2402</v>
      </c>
      <c r="G479" s="9" t="s">
        <v>1727</v>
      </c>
      <c r="H479" s="9" t="s">
        <v>2403</v>
      </c>
      <c r="I479" s="15">
        <v>1820000</v>
      </c>
      <c r="J479" s="15">
        <v>1516666.67</v>
      </c>
      <c r="K479" s="15">
        <v>303333.33</v>
      </c>
    </row>
    <row r="480" spans="1:11">
      <c r="A480" s="9">
        <f t="shared" si="7"/>
        <v>475</v>
      </c>
      <c r="B480" s="9" t="s">
        <v>2012</v>
      </c>
      <c r="C480" s="9" t="s">
        <v>255</v>
      </c>
      <c r="D480" s="9" t="s">
        <v>1639</v>
      </c>
      <c r="E480" s="9" t="s">
        <v>2101</v>
      </c>
      <c r="F480" s="9" t="s">
        <v>2402</v>
      </c>
      <c r="G480" s="9" t="s">
        <v>1727</v>
      </c>
      <c r="H480" s="9" t="s">
        <v>2403</v>
      </c>
      <c r="I480" s="15">
        <v>697000</v>
      </c>
      <c r="J480" s="15">
        <v>0</v>
      </c>
      <c r="K480" s="15">
        <v>116166.67</v>
      </c>
    </row>
    <row r="481" spans="1:11">
      <c r="A481" s="9">
        <f t="shared" si="7"/>
        <v>476</v>
      </c>
      <c r="B481" s="9" t="s">
        <v>2012</v>
      </c>
      <c r="C481" s="9" t="s">
        <v>53</v>
      </c>
      <c r="D481" s="9" t="s">
        <v>797</v>
      </c>
      <c r="E481" s="9" t="s">
        <v>2090</v>
      </c>
      <c r="F481" s="9" t="s">
        <v>757</v>
      </c>
      <c r="G481" s="9" t="s">
        <v>758</v>
      </c>
      <c r="H481" s="9" t="s">
        <v>759</v>
      </c>
      <c r="I481" s="15">
        <v>754110</v>
      </c>
      <c r="J481" s="15">
        <v>628425</v>
      </c>
      <c r="K481" s="15">
        <v>125685</v>
      </c>
    </row>
    <row r="482" spans="1:11">
      <c r="A482" s="9">
        <f t="shared" si="7"/>
        <v>477</v>
      </c>
      <c r="B482" s="9" t="s">
        <v>2012</v>
      </c>
      <c r="C482" s="9" t="s">
        <v>255</v>
      </c>
      <c r="D482" s="9" t="s">
        <v>1659</v>
      </c>
      <c r="E482" s="9" t="s">
        <v>2093</v>
      </c>
      <c r="F482" s="9" t="s">
        <v>2458</v>
      </c>
      <c r="G482" s="9" t="s">
        <v>239</v>
      </c>
      <c r="H482" s="9" t="s">
        <v>2459</v>
      </c>
      <c r="I482" s="15">
        <v>398776</v>
      </c>
      <c r="J482" s="15">
        <v>0</v>
      </c>
      <c r="K482" s="15">
        <v>66462.67</v>
      </c>
    </row>
    <row r="483" spans="1:11">
      <c r="A483" s="9">
        <f t="shared" si="7"/>
        <v>478</v>
      </c>
      <c r="B483" s="9" t="s">
        <v>2012</v>
      </c>
      <c r="C483" s="9" t="s">
        <v>255</v>
      </c>
      <c r="D483" s="9" t="s">
        <v>1660</v>
      </c>
      <c r="E483" s="9" t="s">
        <v>2093</v>
      </c>
      <c r="F483" s="9" t="s">
        <v>2492</v>
      </c>
      <c r="G483" s="9" t="s">
        <v>79</v>
      </c>
      <c r="H483" s="9" t="s">
        <v>2493</v>
      </c>
      <c r="I483" s="15">
        <v>465000</v>
      </c>
      <c r="J483" s="15">
        <v>0</v>
      </c>
      <c r="K483" s="15">
        <v>77500</v>
      </c>
    </row>
    <row r="484" spans="1:11" ht="30">
      <c r="A484" s="9">
        <f t="shared" si="7"/>
        <v>479</v>
      </c>
      <c r="B484" s="9" t="s">
        <v>2012</v>
      </c>
      <c r="C484" s="9" t="s">
        <v>53</v>
      </c>
      <c r="D484" s="9" t="s">
        <v>1124</v>
      </c>
      <c r="E484" s="9" t="s">
        <v>2095</v>
      </c>
      <c r="F484" s="9" t="s">
        <v>2504</v>
      </c>
      <c r="G484" s="9" t="s">
        <v>36</v>
      </c>
      <c r="H484" s="9" t="s">
        <v>2505</v>
      </c>
      <c r="I484" s="15">
        <v>7152</v>
      </c>
      <c r="J484" s="15">
        <v>5960</v>
      </c>
      <c r="K484" s="15">
        <v>1192</v>
      </c>
    </row>
    <row r="485" spans="1:11">
      <c r="A485" s="9">
        <f t="shared" si="7"/>
        <v>480</v>
      </c>
      <c r="B485" s="9" t="s">
        <v>2012</v>
      </c>
      <c r="C485" s="9" t="s">
        <v>53</v>
      </c>
      <c r="D485" s="9" t="s">
        <v>509</v>
      </c>
      <c r="E485" s="9" t="s">
        <v>2095</v>
      </c>
      <c r="F485" s="9" t="s">
        <v>2492</v>
      </c>
      <c r="G485" s="9" t="s">
        <v>79</v>
      </c>
      <c r="H485" s="9" t="s">
        <v>2493</v>
      </c>
      <c r="I485" s="15">
        <v>465000</v>
      </c>
      <c r="J485" s="15">
        <v>387500</v>
      </c>
      <c r="K485" s="15">
        <v>77500</v>
      </c>
    </row>
    <row r="486" spans="1:11">
      <c r="A486" s="9">
        <f t="shared" si="7"/>
        <v>481</v>
      </c>
      <c r="B486" s="9" t="s">
        <v>2012</v>
      </c>
      <c r="C486" s="9" t="s">
        <v>53</v>
      </c>
      <c r="D486" s="9" t="s">
        <v>1636</v>
      </c>
      <c r="E486" s="9" t="s">
        <v>2095</v>
      </c>
      <c r="F486" s="9" t="s">
        <v>2402</v>
      </c>
      <c r="G486" s="9" t="s">
        <v>1727</v>
      </c>
      <c r="H486" s="9" t="s">
        <v>2403</v>
      </c>
      <c r="I486" s="15">
        <v>306000</v>
      </c>
      <c r="J486" s="15">
        <v>255000</v>
      </c>
      <c r="K486" s="15">
        <v>51000</v>
      </c>
    </row>
    <row r="487" spans="1:11">
      <c r="A487" s="9">
        <f t="shared" si="7"/>
        <v>482</v>
      </c>
      <c r="B487" s="9" t="s">
        <v>2012</v>
      </c>
      <c r="C487" s="9" t="s">
        <v>255</v>
      </c>
      <c r="D487" s="9" t="s">
        <v>1661</v>
      </c>
      <c r="E487" s="9" t="s">
        <v>2102</v>
      </c>
      <c r="F487" s="9" t="s">
        <v>2402</v>
      </c>
      <c r="G487" s="9" t="s">
        <v>1727</v>
      </c>
      <c r="H487" s="9" t="s">
        <v>2403</v>
      </c>
      <c r="I487" s="15">
        <v>306000</v>
      </c>
      <c r="J487" s="15">
        <v>0</v>
      </c>
      <c r="K487" s="15">
        <v>51000</v>
      </c>
    </row>
    <row r="488" spans="1:11">
      <c r="A488" s="9">
        <f t="shared" si="7"/>
        <v>483</v>
      </c>
      <c r="B488" s="9" t="s">
        <v>2012</v>
      </c>
      <c r="C488" s="9" t="s">
        <v>53</v>
      </c>
      <c r="D488" s="9" t="s">
        <v>2215</v>
      </c>
      <c r="E488" s="9" t="s">
        <v>2104</v>
      </c>
      <c r="F488" s="9" t="s">
        <v>2402</v>
      </c>
      <c r="G488" s="9" t="s">
        <v>1727</v>
      </c>
      <c r="H488" s="9" t="s">
        <v>2403</v>
      </c>
      <c r="I488" s="15">
        <v>887320</v>
      </c>
      <c r="J488" s="15">
        <v>739433.33</v>
      </c>
      <c r="K488" s="15">
        <v>147886.67000000001</v>
      </c>
    </row>
    <row r="489" spans="1:11">
      <c r="A489" s="9">
        <f t="shared" si="7"/>
        <v>484</v>
      </c>
      <c r="B489" s="9" t="s">
        <v>2012</v>
      </c>
      <c r="C489" s="9" t="s">
        <v>255</v>
      </c>
      <c r="D489" s="9" t="s">
        <v>1679</v>
      </c>
      <c r="E489" s="9" t="s">
        <v>2106</v>
      </c>
      <c r="F489" s="9" t="s">
        <v>2445</v>
      </c>
      <c r="G489" s="9" t="s">
        <v>2446</v>
      </c>
      <c r="H489" s="9" t="s">
        <v>2447</v>
      </c>
      <c r="I489" s="15">
        <v>525000</v>
      </c>
      <c r="J489" s="15">
        <v>0</v>
      </c>
      <c r="K489" s="15">
        <v>87500</v>
      </c>
    </row>
    <row r="490" spans="1:11">
      <c r="A490" s="9">
        <f t="shared" si="7"/>
        <v>485</v>
      </c>
      <c r="B490" s="9" t="s">
        <v>2012</v>
      </c>
      <c r="C490" s="9" t="s">
        <v>53</v>
      </c>
      <c r="D490" s="9" t="s">
        <v>2350</v>
      </c>
      <c r="E490" s="9" t="s">
        <v>2109</v>
      </c>
      <c r="F490" s="9" t="s">
        <v>2506</v>
      </c>
      <c r="G490" s="9" t="s">
        <v>2277</v>
      </c>
      <c r="H490" s="9" t="s">
        <v>2507</v>
      </c>
      <c r="I490" s="15">
        <v>352000</v>
      </c>
      <c r="J490" s="15">
        <v>293333.33</v>
      </c>
      <c r="K490" s="15">
        <v>58666.67</v>
      </c>
    </row>
    <row r="491" spans="1:11">
      <c r="A491" s="9">
        <f t="shared" si="7"/>
        <v>486</v>
      </c>
      <c r="B491" s="9" t="s">
        <v>2012</v>
      </c>
      <c r="C491" s="9" t="s">
        <v>53</v>
      </c>
      <c r="D491" s="9" t="s">
        <v>2373</v>
      </c>
      <c r="E491" s="9" t="s">
        <v>2074</v>
      </c>
      <c r="F491" s="9" t="s">
        <v>2445</v>
      </c>
      <c r="G491" s="9" t="s">
        <v>2446</v>
      </c>
      <c r="H491" s="9" t="s">
        <v>2447</v>
      </c>
      <c r="I491" s="15">
        <v>420000</v>
      </c>
      <c r="J491" s="15">
        <v>350000</v>
      </c>
      <c r="K491" s="15">
        <v>70000</v>
      </c>
    </row>
    <row r="492" spans="1:11">
      <c r="A492" s="9">
        <f t="shared" si="7"/>
        <v>487</v>
      </c>
      <c r="B492" s="9" t="s">
        <v>2012</v>
      </c>
      <c r="C492" s="9" t="s">
        <v>255</v>
      </c>
      <c r="D492" s="9" t="s">
        <v>1729</v>
      </c>
      <c r="E492" s="9" t="s">
        <v>2122</v>
      </c>
      <c r="F492" s="9" t="s">
        <v>757</v>
      </c>
      <c r="G492" s="9" t="s">
        <v>758</v>
      </c>
      <c r="H492" s="9" t="s">
        <v>759</v>
      </c>
      <c r="I492" s="15">
        <v>408000</v>
      </c>
      <c r="J492" s="15">
        <v>0</v>
      </c>
      <c r="K492" s="15">
        <v>68000</v>
      </c>
    </row>
    <row r="493" spans="1:11">
      <c r="A493" s="9">
        <f t="shared" si="7"/>
        <v>488</v>
      </c>
      <c r="B493" s="9" t="s">
        <v>2012</v>
      </c>
      <c r="C493" s="9" t="s">
        <v>255</v>
      </c>
      <c r="D493" s="9" t="s">
        <v>1750</v>
      </c>
      <c r="E493" s="9" t="s">
        <v>2122</v>
      </c>
      <c r="F493" s="9" t="s">
        <v>2458</v>
      </c>
      <c r="G493" s="9" t="s">
        <v>239</v>
      </c>
      <c r="H493" s="9" t="s">
        <v>2459</v>
      </c>
      <c r="I493" s="15">
        <v>500000</v>
      </c>
      <c r="J493" s="15">
        <v>0</v>
      </c>
      <c r="K493" s="15">
        <v>83333.33</v>
      </c>
    </row>
    <row r="494" spans="1:11">
      <c r="A494" s="9">
        <f t="shared" si="7"/>
        <v>489</v>
      </c>
      <c r="B494" s="9" t="s">
        <v>2012</v>
      </c>
      <c r="C494" s="9" t="s">
        <v>255</v>
      </c>
      <c r="D494" s="9" t="s">
        <v>1766</v>
      </c>
      <c r="E494" s="9" t="s">
        <v>2123</v>
      </c>
      <c r="F494" s="9" t="s">
        <v>2225</v>
      </c>
      <c r="G494" s="9" t="s">
        <v>2226</v>
      </c>
      <c r="H494" s="9" t="s">
        <v>2227</v>
      </c>
      <c r="I494" s="15">
        <v>200000</v>
      </c>
      <c r="J494" s="15">
        <v>0</v>
      </c>
      <c r="K494" s="15">
        <v>33333.33</v>
      </c>
    </row>
    <row r="495" spans="1:11">
      <c r="A495" s="9">
        <f t="shared" si="7"/>
        <v>490</v>
      </c>
      <c r="B495" s="9" t="s">
        <v>2012</v>
      </c>
      <c r="C495" s="9" t="s">
        <v>53</v>
      </c>
      <c r="D495" s="9" t="s">
        <v>2368</v>
      </c>
      <c r="E495" s="9" t="s">
        <v>2125</v>
      </c>
      <c r="F495" s="9" t="s">
        <v>2225</v>
      </c>
      <c r="G495" s="9" t="s">
        <v>2226</v>
      </c>
      <c r="H495" s="9" t="s">
        <v>2227</v>
      </c>
      <c r="I495" s="15">
        <v>1923838</v>
      </c>
      <c r="J495" s="15">
        <v>1603198.33</v>
      </c>
      <c r="K495" s="15">
        <v>320639.67</v>
      </c>
    </row>
    <row r="496" spans="1:11">
      <c r="A496" s="9">
        <f t="shared" si="7"/>
        <v>491</v>
      </c>
      <c r="B496" s="9" t="s">
        <v>2012</v>
      </c>
      <c r="C496" s="9" t="s">
        <v>53</v>
      </c>
      <c r="D496" s="9" t="s">
        <v>2376</v>
      </c>
      <c r="E496" s="9" t="s">
        <v>2125</v>
      </c>
      <c r="F496" s="9" t="s">
        <v>757</v>
      </c>
      <c r="G496" s="9" t="s">
        <v>758</v>
      </c>
      <c r="H496" s="9" t="s">
        <v>759</v>
      </c>
      <c r="I496" s="15">
        <v>779280</v>
      </c>
      <c r="J496" s="15">
        <v>649400</v>
      </c>
      <c r="K496" s="15">
        <v>129880</v>
      </c>
    </row>
    <row r="497" spans="1:11">
      <c r="A497" s="9">
        <f t="shared" si="7"/>
        <v>492</v>
      </c>
      <c r="B497" s="9" t="s">
        <v>2012</v>
      </c>
      <c r="C497" s="9" t="s">
        <v>255</v>
      </c>
      <c r="D497" s="9" t="s">
        <v>1701</v>
      </c>
      <c r="E497" s="9" t="s">
        <v>2146</v>
      </c>
      <c r="F497" s="9" t="s">
        <v>2492</v>
      </c>
      <c r="G497" s="9" t="s">
        <v>79</v>
      </c>
      <c r="H497" s="9" t="s">
        <v>2493</v>
      </c>
      <c r="I497" s="15">
        <v>150460</v>
      </c>
      <c r="J497" s="15">
        <v>0</v>
      </c>
      <c r="K497" s="15">
        <v>25076.67</v>
      </c>
    </row>
    <row r="498" spans="1:11">
      <c r="A498" s="9">
        <f t="shared" si="7"/>
        <v>493</v>
      </c>
      <c r="B498" s="9" t="s">
        <v>2012</v>
      </c>
      <c r="C498" s="9" t="s">
        <v>255</v>
      </c>
      <c r="D498" s="9" t="s">
        <v>1777</v>
      </c>
      <c r="E498" s="9" t="s">
        <v>2130</v>
      </c>
      <c r="F498" s="9" t="s">
        <v>2508</v>
      </c>
      <c r="G498" s="9" t="s">
        <v>540</v>
      </c>
      <c r="H498" s="9" t="s">
        <v>2509</v>
      </c>
      <c r="I498" s="15">
        <v>408000</v>
      </c>
      <c r="J498" s="15">
        <v>0</v>
      </c>
      <c r="K498" s="15">
        <v>68000</v>
      </c>
    </row>
    <row r="499" spans="1:11">
      <c r="A499" s="9">
        <f t="shared" si="7"/>
        <v>494</v>
      </c>
      <c r="B499" s="9" t="s">
        <v>2012</v>
      </c>
      <c r="C499" s="9" t="s">
        <v>255</v>
      </c>
      <c r="D499" s="9" t="s">
        <v>1718</v>
      </c>
      <c r="E499" s="9" t="s">
        <v>2137</v>
      </c>
      <c r="F499" s="9" t="s">
        <v>757</v>
      </c>
      <c r="G499" s="9" t="s">
        <v>758</v>
      </c>
      <c r="H499" s="9" t="s">
        <v>759</v>
      </c>
      <c r="I499" s="15">
        <v>408000</v>
      </c>
      <c r="J499" s="15">
        <v>0</v>
      </c>
      <c r="K499" s="15">
        <v>68000</v>
      </c>
    </row>
    <row r="500" spans="1:11">
      <c r="A500" s="9">
        <f t="shared" si="7"/>
        <v>495</v>
      </c>
      <c r="B500" s="9" t="s">
        <v>2012</v>
      </c>
      <c r="C500" s="9" t="s">
        <v>255</v>
      </c>
      <c r="D500" s="9" t="s">
        <v>1801</v>
      </c>
      <c r="E500" s="9" t="s">
        <v>2137</v>
      </c>
      <c r="F500" s="9" t="s">
        <v>2225</v>
      </c>
      <c r="G500" s="9" t="s">
        <v>2226</v>
      </c>
      <c r="H500" s="9" t="s">
        <v>2227</v>
      </c>
      <c r="I500" s="15">
        <v>564000</v>
      </c>
      <c r="J500" s="15">
        <v>0</v>
      </c>
      <c r="K500" s="15">
        <v>94000</v>
      </c>
    </row>
    <row r="501" spans="1:11">
      <c r="A501" s="9">
        <f t="shared" si="7"/>
        <v>496</v>
      </c>
      <c r="B501" s="9" t="s">
        <v>2012</v>
      </c>
      <c r="C501" s="9" t="s">
        <v>53</v>
      </c>
      <c r="D501" s="9" t="s">
        <v>2375</v>
      </c>
      <c r="E501" s="9" t="s">
        <v>2510</v>
      </c>
      <c r="F501" s="9" t="s">
        <v>2458</v>
      </c>
      <c r="G501" s="9" t="s">
        <v>239</v>
      </c>
      <c r="H501" s="9" t="s">
        <v>2459</v>
      </c>
      <c r="I501" s="15">
        <v>866789</v>
      </c>
      <c r="J501" s="15">
        <v>722324.17</v>
      </c>
      <c r="K501" s="15">
        <v>144464.82999999999</v>
      </c>
    </row>
    <row r="502" spans="1:11">
      <c r="A502" s="9">
        <f t="shared" si="7"/>
        <v>497</v>
      </c>
      <c r="B502" s="9" t="s">
        <v>2012</v>
      </c>
      <c r="C502" s="9" t="s">
        <v>53</v>
      </c>
      <c r="D502" s="9" t="s">
        <v>361</v>
      </c>
      <c r="E502" s="9" t="s">
        <v>2139</v>
      </c>
      <c r="F502" s="9" t="s">
        <v>2225</v>
      </c>
      <c r="G502" s="9" t="s">
        <v>2226</v>
      </c>
      <c r="H502" s="9" t="s">
        <v>2227</v>
      </c>
      <c r="I502" s="15">
        <v>1873890</v>
      </c>
      <c r="J502" s="15">
        <v>1561575</v>
      </c>
      <c r="K502" s="15">
        <v>312315</v>
      </c>
    </row>
    <row r="503" spans="1:11">
      <c r="A503" s="9">
        <f t="shared" si="7"/>
        <v>498</v>
      </c>
      <c r="B503" s="9" t="s">
        <v>2012</v>
      </c>
      <c r="C503" s="9" t="s">
        <v>53</v>
      </c>
      <c r="D503" s="9" t="s">
        <v>1712</v>
      </c>
      <c r="E503" s="9" t="s">
        <v>2139</v>
      </c>
      <c r="F503" s="9" t="s">
        <v>757</v>
      </c>
      <c r="G503" s="9" t="s">
        <v>758</v>
      </c>
      <c r="H503" s="9" t="s">
        <v>759</v>
      </c>
      <c r="I503" s="15">
        <v>762960</v>
      </c>
      <c r="J503" s="15">
        <v>635800</v>
      </c>
      <c r="K503" s="15">
        <v>127160</v>
      </c>
    </row>
    <row r="504" spans="1:11">
      <c r="A504" s="9">
        <f t="shared" si="7"/>
        <v>499</v>
      </c>
      <c r="B504" s="9" t="s">
        <v>2012</v>
      </c>
      <c r="C504" s="9" t="s">
        <v>255</v>
      </c>
      <c r="D504" s="9" t="s">
        <v>1790</v>
      </c>
      <c r="E504" s="9" t="s">
        <v>2139</v>
      </c>
      <c r="F504" s="9" t="s">
        <v>2511</v>
      </c>
      <c r="G504" s="9" t="s">
        <v>2427</v>
      </c>
      <c r="H504" s="9" t="s">
        <v>2512</v>
      </c>
      <c r="I504" s="15">
        <v>140000</v>
      </c>
      <c r="J504" s="15">
        <v>0</v>
      </c>
      <c r="K504" s="15">
        <v>23333.33</v>
      </c>
    </row>
    <row r="505" spans="1:11">
      <c r="A505" s="9">
        <f t="shared" si="7"/>
        <v>500</v>
      </c>
      <c r="B505" s="9" t="s">
        <v>2012</v>
      </c>
      <c r="C505" s="9" t="s">
        <v>53</v>
      </c>
      <c r="D505" s="9" t="s">
        <v>2377</v>
      </c>
      <c r="E505" s="9" t="s">
        <v>2142</v>
      </c>
      <c r="F505" s="9" t="s">
        <v>2513</v>
      </c>
      <c r="G505" s="9" t="s">
        <v>1311</v>
      </c>
      <c r="H505" s="9" t="s">
        <v>2514</v>
      </c>
      <c r="I505" s="15">
        <v>137200</v>
      </c>
      <c r="J505" s="15">
        <v>114333.33</v>
      </c>
      <c r="K505" s="15">
        <v>22866.67</v>
      </c>
    </row>
    <row r="506" spans="1:11">
      <c r="A506" s="9">
        <f t="shared" si="7"/>
        <v>501</v>
      </c>
      <c r="B506" s="9" t="s">
        <v>2012</v>
      </c>
      <c r="C506" s="9" t="s">
        <v>53</v>
      </c>
      <c r="D506" s="9" t="s">
        <v>714</v>
      </c>
      <c r="E506" s="9" t="s">
        <v>2142</v>
      </c>
      <c r="F506" s="9" t="s">
        <v>2511</v>
      </c>
      <c r="G506" s="9" t="s">
        <v>2427</v>
      </c>
      <c r="H506" s="9" t="s">
        <v>2512</v>
      </c>
      <c r="I506" s="15">
        <v>117915</v>
      </c>
      <c r="J506" s="15">
        <v>98262.5</v>
      </c>
      <c r="K506" s="15">
        <v>19652.5</v>
      </c>
    </row>
    <row r="507" spans="1:11">
      <c r="A507" s="9">
        <f t="shared" si="7"/>
        <v>502</v>
      </c>
      <c r="B507" s="9" t="s">
        <v>2012</v>
      </c>
      <c r="C507" s="9" t="s">
        <v>53</v>
      </c>
      <c r="D507" s="9" t="s">
        <v>296</v>
      </c>
      <c r="E507" s="9" t="s">
        <v>2148</v>
      </c>
      <c r="F507" s="9" t="s">
        <v>2492</v>
      </c>
      <c r="G507" s="9" t="s">
        <v>79</v>
      </c>
      <c r="H507" s="9" t="s">
        <v>2493</v>
      </c>
      <c r="I507" s="15">
        <v>150460</v>
      </c>
      <c r="J507" s="15">
        <v>125383.33</v>
      </c>
      <c r="K507" s="15">
        <v>25076.67</v>
      </c>
    </row>
    <row r="508" spans="1:11">
      <c r="A508" s="9">
        <f t="shared" si="7"/>
        <v>503</v>
      </c>
      <c r="B508" s="9" t="s">
        <v>2012</v>
      </c>
      <c r="C508" s="9" t="s">
        <v>255</v>
      </c>
      <c r="D508" s="9" t="s">
        <v>1827</v>
      </c>
      <c r="E508" s="9" t="s">
        <v>2148</v>
      </c>
      <c r="F508" s="9" t="s">
        <v>2511</v>
      </c>
      <c r="G508" s="9" t="s">
        <v>2427</v>
      </c>
      <c r="H508" s="9" t="s">
        <v>2512</v>
      </c>
      <c r="I508" s="15">
        <v>232750</v>
      </c>
      <c r="J508" s="15">
        <v>0</v>
      </c>
      <c r="K508" s="15">
        <v>38791.67</v>
      </c>
    </row>
    <row r="509" spans="1:11">
      <c r="A509" s="9">
        <f t="shared" si="7"/>
        <v>504</v>
      </c>
      <c r="B509" s="9" t="s">
        <v>2012</v>
      </c>
      <c r="C509" s="9" t="s">
        <v>53</v>
      </c>
      <c r="D509" s="9" t="s">
        <v>2457</v>
      </c>
      <c r="E509" s="9" t="s">
        <v>2214</v>
      </c>
      <c r="F509" s="9" t="s">
        <v>2511</v>
      </c>
      <c r="G509" s="9" t="s">
        <v>2427</v>
      </c>
      <c r="H509" s="9" t="s">
        <v>2512</v>
      </c>
      <c r="I509" s="15">
        <v>342076</v>
      </c>
      <c r="J509" s="15">
        <v>285063.33</v>
      </c>
      <c r="K509" s="15">
        <v>57012.67</v>
      </c>
    </row>
    <row r="510" spans="1:11">
      <c r="A510" s="9">
        <f t="shared" si="7"/>
        <v>505</v>
      </c>
      <c r="B510" s="9" t="s">
        <v>2012</v>
      </c>
      <c r="C510" s="9" t="s">
        <v>53</v>
      </c>
      <c r="D510" s="9" t="s">
        <v>148</v>
      </c>
      <c r="E510" s="9" t="s">
        <v>2214</v>
      </c>
      <c r="F510" s="9" t="s">
        <v>2508</v>
      </c>
      <c r="G510" s="9" t="s">
        <v>540</v>
      </c>
      <c r="H510" s="9" t="s">
        <v>2509</v>
      </c>
      <c r="I510" s="15">
        <v>468420</v>
      </c>
      <c r="J510" s="15">
        <v>390350</v>
      </c>
      <c r="K510" s="15">
        <v>78070</v>
      </c>
    </row>
    <row r="511" spans="1:11">
      <c r="A511" s="9">
        <f t="shared" si="7"/>
        <v>506</v>
      </c>
      <c r="B511" s="9" t="s">
        <v>2012</v>
      </c>
      <c r="C511" s="9" t="s">
        <v>255</v>
      </c>
      <c r="D511" s="9" t="s">
        <v>1791</v>
      </c>
      <c r="E511" s="9" t="s">
        <v>2214</v>
      </c>
      <c r="F511" s="9" t="s">
        <v>757</v>
      </c>
      <c r="G511" s="9" t="s">
        <v>758</v>
      </c>
      <c r="H511" s="9" t="s">
        <v>759</v>
      </c>
      <c r="I511" s="15">
        <v>408000</v>
      </c>
      <c r="J511" s="15">
        <v>0</v>
      </c>
      <c r="K511" s="15">
        <v>68000</v>
      </c>
    </row>
    <row r="512" spans="1:11">
      <c r="A512" s="9">
        <f t="shared" si="7"/>
        <v>507</v>
      </c>
      <c r="B512" s="9" t="s">
        <v>2012</v>
      </c>
      <c r="C512" s="9" t="s">
        <v>255</v>
      </c>
      <c r="D512" s="9" t="s">
        <v>1843</v>
      </c>
      <c r="E512" s="9" t="s">
        <v>2149</v>
      </c>
      <c r="F512" s="9" t="s">
        <v>2476</v>
      </c>
      <c r="G512" s="9" t="s">
        <v>2477</v>
      </c>
      <c r="H512" s="9" t="s">
        <v>2478</v>
      </c>
      <c r="I512" s="15">
        <v>29656</v>
      </c>
      <c r="J512" s="15">
        <v>0</v>
      </c>
      <c r="K512" s="15">
        <v>4942.67</v>
      </c>
    </row>
    <row r="513" spans="1:11">
      <c r="A513" s="9">
        <f t="shared" si="7"/>
        <v>508</v>
      </c>
      <c r="B513" s="9" t="s">
        <v>2012</v>
      </c>
      <c r="C513" s="9" t="s">
        <v>255</v>
      </c>
      <c r="D513" s="9" t="s">
        <v>1828</v>
      </c>
      <c r="E513" s="9" t="s">
        <v>2149</v>
      </c>
      <c r="F513" s="9" t="s">
        <v>2511</v>
      </c>
      <c r="G513" s="9" t="s">
        <v>2427</v>
      </c>
      <c r="H513" s="9" t="s">
        <v>2512</v>
      </c>
      <c r="I513" s="15">
        <v>238000</v>
      </c>
      <c r="J513" s="15">
        <v>0</v>
      </c>
      <c r="K513" s="15">
        <v>39666.67</v>
      </c>
    </row>
    <row r="514" spans="1:11">
      <c r="A514" s="9">
        <f t="shared" si="7"/>
        <v>509</v>
      </c>
      <c r="B514" s="9" t="s">
        <v>2012</v>
      </c>
      <c r="C514" s="9" t="s">
        <v>53</v>
      </c>
      <c r="D514" s="9" t="s">
        <v>2460</v>
      </c>
      <c r="E514" s="9" t="s">
        <v>2151</v>
      </c>
      <c r="F514" s="9" t="s">
        <v>2511</v>
      </c>
      <c r="G514" s="9" t="s">
        <v>2427</v>
      </c>
      <c r="H514" s="9" t="s">
        <v>2512</v>
      </c>
      <c r="I514" s="15">
        <v>273636</v>
      </c>
      <c r="J514" s="15">
        <v>228030</v>
      </c>
      <c r="K514" s="15">
        <v>45606</v>
      </c>
    </row>
    <row r="515" spans="1:11">
      <c r="A515" s="9">
        <f t="shared" si="7"/>
        <v>510</v>
      </c>
      <c r="B515" s="9" t="s">
        <v>2012</v>
      </c>
      <c r="C515" s="9" t="s">
        <v>53</v>
      </c>
      <c r="D515" s="9" t="s">
        <v>762</v>
      </c>
      <c r="E515" s="9" t="s">
        <v>2151</v>
      </c>
      <c r="F515" s="9" t="s">
        <v>2476</v>
      </c>
      <c r="G515" s="9" t="s">
        <v>2477</v>
      </c>
      <c r="H515" s="9" t="s">
        <v>2478</v>
      </c>
      <c r="I515" s="15">
        <v>37128</v>
      </c>
      <c r="J515" s="15">
        <v>30940</v>
      </c>
      <c r="K515" s="15">
        <v>6188</v>
      </c>
    </row>
    <row r="516" spans="1:11">
      <c r="A516" s="9">
        <f t="shared" si="7"/>
        <v>511</v>
      </c>
      <c r="B516" s="9" t="s">
        <v>2154</v>
      </c>
      <c r="C516" s="9" t="s">
        <v>53</v>
      </c>
      <c r="D516" s="9" t="s">
        <v>2464</v>
      </c>
      <c r="E516" s="9" t="s">
        <v>2515</v>
      </c>
      <c r="F516" s="9" t="s">
        <v>757</v>
      </c>
      <c r="G516" s="9" t="s">
        <v>758</v>
      </c>
      <c r="H516" s="9" t="s">
        <v>759</v>
      </c>
      <c r="I516" s="15">
        <v>394310</v>
      </c>
      <c r="J516" s="15">
        <v>328591.67</v>
      </c>
      <c r="K516" s="15">
        <v>65718.33</v>
      </c>
    </row>
    <row r="517" spans="1:11">
      <c r="A517" s="9">
        <f t="shared" si="7"/>
        <v>512</v>
      </c>
      <c r="B517" s="9" t="s">
        <v>2154</v>
      </c>
      <c r="C517" s="9" t="s">
        <v>53</v>
      </c>
      <c r="D517" s="9" t="s">
        <v>2379</v>
      </c>
      <c r="E517" s="9" t="s">
        <v>2516</v>
      </c>
      <c r="F517" s="9" t="s">
        <v>650</v>
      </c>
      <c r="G517" s="9" t="s">
        <v>651</v>
      </c>
      <c r="H517" s="9" t="s">
        <v>652</v>
      </c>
      <c r="I517" s="15">
        <v>131352</v>
      </c>
      <c r="J517" s="15">
        <v>109460</v>
      </c>
      <c r="K517" s="15">
        <v>21892</v>
      </c>
    </row>
    <row r="518" spans="1:11">
      <c r="A518" s="9">
        <f t="shared" si="7"/>
        <v>513</v>
      </c>
      <c r="B518" s="9" t="s">
        <v>2154</v>
      </c>
      <c r="C518" s="9" t="s">
        <v>53</v>
      </c>
      <c r="D518" s="9" t="s">
        <v>270</v>
      </c>
      <c r="E518" s="9" t="s">
        <v>2516</v>
      </c>
      <c r="F518" s="9" t="s">
        <v>2492</v>
      </c>
      <c r="G518" s="9" t="s">
        <v>79</v>
      </c>
      <c r="H518" s="9" t="s">
        <v>2493</v>
      </c>
      <c r="I518" s="15">
        <v>84680</v>
      </c>
      <c r="J518" s="15">
        <v>70566.67</v>
      </c>
      <c r="K518" s="15">
        <v>14113.33</v>
      </c>
    </row>
    <row r="519" spans="1:11">
      <c r="A519" s="9">
        <f t="shared" ref="A519:A572" si="8">A518+1</f>
        <v>514</v>
      </c>
      <c r="B519" s="9" t="s">
        <v>2154</v>
      </c>
      <c r="C519" s="9" t="s">
        <v>53</v>
      </c>
      <c r="D519" s="9" t="s">
        <v>2380</v>
      </c>
      <c r="E519" s="9" t="s">
        <v>2517</v>
      </c>
      <c r="F519" s="9" t="s">
        <v>2518</v>
      </c>
      <c r="G519" s="9" t="s">
        <v>2519</v>
      </c>
      <c r="H519" s="9" t="s">
        <v>2520</v>
      </c>
      <c r="I519" s="15">
        <v>479601</v>
      </c>
      <c r="J519" s="15">
        <v>399667.5</v>
      </c>
      <c r="K519" s="15">
        <v>79933.5</v>
      </c>
    </row>
    <row r="520" spans="1:11">
      <c r="A520" s="9">
        <f t="shared" si="8"/>
        <v>515</v>
      </c>
      <c r="B520" s="9" t="s">
        <v>2154</v>
      </c>
      <c r="C520" s="9" t="s">
        <v>53</v>
      </c>
      <c r="D520" s="9" t="s">
        <v>2382</v>
      </c>
      <c r="E520" s="9" t="s">
        <v>2521</v>
      </c>
      <c r="F520" s="9" t="s">
        <v>757</v>
      </c>
      <c r="G520" s="9" t="s">
        <v>758</v>
      </c>
      <c r="H520" s="9" t="s">
        <v>759</v>
      </c>
      <c r="I520" s="15">
        <v>633820</v>
      </c>
      <c r="J520" s="15">
        <v>528183.32999999996</v>
      </c>
      <c r="K520" s="15">
        <v>105636.67</v>
      </c>
    </row>
    <row r="521" spans="1:11">
      <c r="A521" s="9">
        <f t="shared" si="8"/>
        <v>516</v>
      </c>
      <c r="B521" s="9" t="s">
        <v>2154</v>
      </c>
      <c r="C521" s="9" t="s">
        <v>53</v>
      </c>
      <c r="D521" s="9" t="s">
        <v>948</v>
      </c>
      <c r="E521" s="9" t="s">
        <v>2165</v>
      </c>
      <c r="F521" s="9" t="s">
        <v>2402</v>
      </c>
      <c r="G521" s="9" t="s">
        <v>1727</v>
      </c>
      <c r="H521" s="9" t="s">
        <v>2403</v>
      </c>
      <c r="I521" s="15">
        <v>880000</v>
      </c>
      <c r="J521" s="15">
        <v>733333.33</v>
      </c>
      <c r="K521" s="15">
        <v>146666.67000000001</v>
      </c>
    </row>
    <row r="522" spans="1:11">
      <c r="A522" s="9">
        <f t="shared" si="8"/>
        <v>517</v>
      </c>
      <c r="B522" s="9" t="s">
        <v>2154</v>
      </c>
      <c r="C522" s="9" t="s">
        <v>53</v>
      </c>
      <c r="D522" s="9" t="s">
        <v>346</v>
      </c>
      <c r="E522" s="9" t="s">
        <v>2167</v>
      </c>
      <c r="F522" s="9" t="s">
        <v>757</v>
      </c>
      <c r="G522" s="9" t="s">
        <v>758</v>
      </c>
      <c r="H522" s="9" t="s">
        <v>759</v>
      </c>
      <c r="I522" s="15">
        <v>651440</v>
      </c>
      <c r="J522" s="15">
        <v>542866.67000000004</v>
      </c>
      <c r="K522" s="15">
        <v>108573.33</v>
      </c>
    </row>
    <row r="523" spans="1:11">
      <c r="A523" s="9">
        <f t="shared" si="8"/>
        <v>518</v>
      </c>
      <c r="B523" s="9" t="s">
        <v>2154</v>
      </c>
      <c r="C523" s="9" t="s">
        <v>53</v>
      </c>
      <c r="D523" s="9" t="s">
        <v>369</v>
      </c>
      <c r="E523" s="9" t="s">
        <v>2522</v>
      </c>
      <c r="F523" s="9" t="s">
        <v>2480</v>
      </c>
      <c r="G523" s="9" t="s">
        <v>2481</v>
      </c>
      <c r="H523" s="9" t="s">
        <v>2482</v>
      </c>
      <c r="I523" s="15">
        <v>1440000</v>
      </c>
      <c r="J523" s="15">
        <v>1200000</v>
      </c>
      <c r="K523" s="15">
        <v>240000</v>
      </c>
    </row>
    <row r="524" spans="1:11">
      <c r="A524" s="9">
        <f t="shared" si="8"/>
        <v>519</v>
      </c>
      <c r="B524" s="9" t="s">
        <v>2154</v>
      </c>
      <c r="C524" s="9" t="s">
        <v>53</v>
      </c>
      <c r="D524" s="9" t="s">
        <v>2391</v>
      </c>
      <c r="E524" s="9" t="s">
        <v>2522</v>
      </c>
      <c r="F524" s="9" t="s">
        <v>2476</v>
      </c>
      <c r="G524" s="9" t="s">
        <v>2477</v>
      </c>
      <c r="H524" s="9" t="s">
        <v>2478</v>
      </c>
      <c r="I524" s="15">
        <v>352716</v>
      </c>
      <c r="J524" s="15">
        <v>293930</v>
      </c>
      <c r="K524" s="15">
        <v>58786</v>
      </c>
    </row>
    <row r="525" spans="1:11">
      <c r="A525" s="9">
        <f t="shared" si="8"/>
        <v>520</v>
      </c>
      <c r="B525" s="9" t="s">
        <v>2154</v>
      </c>
      <c r="C525" s="9" t="s">
        <v>53</v>
      </c>
      <c r="D525" s="9" t="s">
        <v>2387</v>
      </c>
      <c r="E525" s="9" t="s">
        <v>2523</v>
      </c>
      <c r="F525" s="9" t="s">
        <v>2474</v>
      </c>
      <c r="G525" s="9" t="s">
        <v>294</v>
      </c>
      <c r="H525" s="9" t="s">
        <v>2475</v>
      </c>
      <c r="I525" s="15">
        <v>85000</v>
      </c>
      <c r="J525" s="15">
        <v>70833.33</v>
      </c>
      <c r="K525" s="15">
        <v>14166.67</v>
      </c>
    </row>
    <row r="526" spans="1:11">
      <c r="A526" s="9">
        <f t="shared" si="8"/>
        <v>521</v>
      </c>
      <c r="B526" s="9" t="s">
        <v>2154</v>
      </c>
      <c r="C526" s="9" t="s">
        <v>53</v>
      </c>
      <c r="D526" s="9" t="s">
        <v>742</v>
      </c>
      <c r="E526" s="9" t="s">
        <v>2173</v>
      </c>
      <c r="F526" s="9" t="s">
        <v>757</v>
      </c>
      <c r="G526" s="9" t="s">
        <v>758</v>
      </c>
      <c r="H526" s="9" t="s">
        <v>759</v>
      </c>
      <c r="I526" s="15">
        <v>671840</v>
      </c>
      <c r="J526" s="15">
        <v>559866.67000000004</v>
      </c>
      <c r="K526" s="15">
        <v>111973.33</v>
      </c>
    </row>
    <row r="527" spans="1:11">
      <c r="A527" s="9">
        <f t="shared" si="8"/>
        <v>522</v>
      </c>
      <c r="B527" s="9" t="s">
        <v>2154</v>
      </c>
      <c r="C527" s="9" t="s">
        <v>53</v>
      </c>
      <c r="D527" s="9" t="s">
        <v>336</v>
      </c>
      <c r="E527" s="9" t="s">
        <v>2524</v>
      </c>
      <c r="F527" s="9" t="s">
        <v>2511</v>
      </c>
      <c r="G527" s="9" t="s">
        <v>2427</v>
      </c>
      <c r="H527" s="9" t="s">
        <v>2512</v>
      </c>
      <c r="I527" s="15">
        <v>243144</v>
      </c>
      <c r="J527" s="15">
        <v>202620</v>
      </c>
      <c r="K527" s="15">
        <v>40524</v>
      </c>
    </row>
    <row r="528" spans="1:11">
      <c r="A528" s="9">
        <f t="shared" si="8"/>
        <v>523</v>
      </c>
      <c r="B528" s="9" t="s">
        <v>2154</v>
      </c>
      <c r="C528" s="9" t="s">
        <v>53</v>
      </c>
      <c r="D528" s="9" t="s">
        <v>173</v>
      </c>
      <c r="E528" s="9" t="s">
        <v>2524</v>
      </c>
      <c r="F528" s="9" t="s">
        <v>2525</v>
      </c>
      <c r="G528" s="9" t="s">
        <v>2251</v>
      </c>
      <c r="H528" s="9" t="s">
        <v>2526</v>
      </c>
      <c r="I528" s="15">
        <v>16000</v>
      </c>
      <c r="J528" s="15">
        <v>13333.33</v>
      </c>
      <c r="K528" s="15">
        <v>2666.67</v>
      </c>
    </row>
    <row r="529" spans="1:11">
      <c r="A529" s="9">
        <f t="shared" si="8"/>
        <v>524</v>
      </c>
      <c r="B529" s="9" t="s">
        <v>2154</v>
      </c>
      <c r="C529" s="9" t="s">
        <v>53</v>
      </c>
      <c r="D529" s="9" t="s">
        <v>367</v>
      </c>
      <c r="E529" s="9" t="s">
        <v>2175</v>
      </c>
      <c r="F529" s="9" t="s">
        <v>2492</v>
      </c>
      <c r="G529" s="9" t="s">
        <v>79</v>
      </c>
      <c r="H529" s="9" t="s">
        <v>2493</v>
      </c>
      <c r="I529" s="15">
        <v>850000</v>
      </c>
      <c r="J529" s="15">
        <v>708333.33</v>
      </c>
      <c r="K529" s="15">
        <v>141666.67000000001</v>
      </c>
    </row>
    <row r="530" spans="1:11">
      <c r="A530" s="9">
        <f t="shared" si="8"/>
        <v>525</v>
      </c>
      <c r="B530" s="9" t="s">
        <v>2154</v>
      </c>
      <c r="C530" s="9" t="s">
        <v>53</v>
      </c>
      <c r="D530" s="9" t="s">
        <v>2406</v>
      </c>
      <c r="E530" s="9" t="s">
        <v>2175</v>
      </c>
      <c r="F530" s="9" t="s">
        <v>2476</v>
      </c>
      <c r="G530" s="9" t="s">
        <v>2477</v>
      </c>
      <c r="H530" s="9" t="s">
        <v>2478</v>
      </c>
      <c r="I530" s="15">
        <v>223312</v>
      </c>
      <c r="J530" s="15">
        <v>186093.33</v>
      </c>
      <c r="K530" s="15">
        <v>37218.67</v>
      </c>
    </row>
    <row r="531" spans="1:11">
      <c r="A531" s="9">
        <f t="shared" si="8"/>
        <v>526</v>
      </c>
      <c r="B531" s="9" t="s">
        <v>2154</v>
      </c>
      <c r="C531" s="9" t="s">
        <v>53</v>
      </c>
      <c r="D531" s="9" t="s">
        <v>1228</v>
      </c>
      <c r="E531" s="9" t="s">
        <v>2177</v>
      </c>
      <c r="F531" s="9" t="s">
        <v>2483</v>
      </c>
      <c r="G531" s="9" t="s">
        <v>2484</v>
      </c>
      <c r="H531" s="9" t="s">
        <v>2485</v>
      </c>
      <c r="I531" s="15">
        <v>85000</v>
      </c>
      <c r="J531" s="15">
        <v>70833.33</v>
      </c>
      <c r="K531" s="15">
        <v>14166.67</v>
      </c>
    </row>
    <row r="532" spans="1:11">
      <c r="A532" s="9">
        <f t="shared" si="8"/>
        <v>527</v>
      </c>
      <c r="B532" s="9" t="s">
        <v>2154</v>
      </c>
      <c r="C532" s="9" t="s">
        <v>53</v>
      </c>
      <c r="D532" s="9" t="s">
        <v>2404</v>
      </c>
      <c r="E532" s="9" t="s">
        <v>2179</v>
      </c>
      <c r="F532" s="9" t="s">
        <v>2527</v>
      </c>
      <c r="G532" s="9" t="s">
        <v>2528</v>
      </c>
      <c r="H532" s="9" t="s">
        <v>2529</v>
      </c>
      <c r="I532" s="15">
        <v>1800000</v>
      </c>
      <c r="J532" s="15">
        <v>1500000</v>
      </c>
      <c r="K532" s="15">
        <v>300000</v>
      </c>
    </row>
    <row r="533" spans="1:11">
      <c r="A533" s="9">
        <f t="shared" si="8"/>
        <v>528</v>
      </c>
      <c r="B533" s="9" t="s">
        <v>2154</v>
      </c>
      <c r="C533" s="9" t="s">
        <v>53</v>
      </c>
      <c r="D533" s="9" t="s">
        <v>586</v>
      </c>
      <c r="E533" s="9" t="s">
        <v>2181</v>
      </c>
      <c r="F533" s="9" t="s">
        <v>2480</v>
      </c>
      <c r="G533" s="9" t="s">
        <v>2481</v>
      </c>
      <c r="H533" s="9" t="s">
        <v>2482</v>
      </c>
      <c r="I533" s="15">
        <v>1780000</v>
      </c>
      <c r="J533" s="15">
        <v>1483333.33</v>
      </c>
      <c r="K533" s="15">
        <v>296666.67</v>
      </c>
    </row>
    <row r="534" spans="1:11">
      <c r="A534" s="9">
        <f t="shared" si="8"/>
        <v>529</v>
      </c>
      <c r="B534" s="9" t="s">
        <v>2154</v>
      </c>
      <c r="C534" s="9" t="s">
        <v>53</v>
      </c>
      <c r="D534" s="9" t="s">
        <v>518</v>
      </c>
      <c r="E534" s="9" t="s">
        <v>2183</v>
      </c>
      <c r="F534" s="9" t="s">
        <v>2445</v>
      </c>
      <c r="G534" s="9" t="s">
        <v>2446</v>
      </c>
      <c r="H534" s="9" t="s">
        <v>2447</v>
      </c>
      <c r="I534" s="15">
        <v>315000</v>
      </c>
      <c r="J534" s="15">
        <v>262500</v>
      </c>
      <c r="K534" s="15">
        <v>52500</v>
      </c>
    </row>
    <row r="535" spans="1:11">
      <c r="A535" s="9">
        <f t="shared" si="8"/>
        <v>530</v>
      </c>
      <c r="B535" s="9" t="s">
        <v>2154</v>
      </c>
      <c r="C535" s="9" t="s">
        <v>53</v>
      </c>
      <c r="D535" s="9" t="s">
        <v>2401</v>
      </c>
      <c r="E535" s="9" t="s">
        <v>2530</v>
      </c>
      <c r="F535" s="9" t="s">
        <v>2511</v>
      </c>
      <c r="G535" s="9" t="s">
        <v>2427</v>
      </c>
      <c r="H535" s="9" t="s">
        <v>2512</v>
      </c>
      <c r="I535" s="15">
        <v>353600</v>
      </c>
      <c r="J535" s="15">
        <v>294666.67</v>
      </c>
      <c r="K535" s="15">
        <v>58933.33</v>
      </c>
    </row>
    <row r="536" spans="1:11">
      <c r="A536" s="9">
        <f t="shared" si="8"/>
        <v>531</v>
      </c>
      <c r="B536" s="9" t="s">
        <v>2154</v>
      </c>
      <c r="C536" s="9" t="s">
        <v>53</v>
      </c>
      <c r="D536" s="9" t="s">
        <v>388</v>
      </c>
      <c r="E536" s="9" t="s">
        <v>2190</v>
      </c>
      <c r="F536" s="9" t="s">
        <v>2402</v>
      </c>
      <c r="G536" s="9" t="s">
        <v>1727</v>
      </c>
      <c r="H536" s="9" t="s">
        <v>2403</v>
      </c>
      <c r="I536" s="15">
        <v>1320000</v>
      </c>
      <c r="J536" s="15">
        <v>1100000</v>
      </c>
      <c r="K536" s="15">
        <v>220000</v>
      </c>
    </row>
    <row r="537" spans="1:11">
      <c r="A537" s="9">
        <f t="shared" si="8"/>
        <v>532</v>
      </c>
      <c r="B537" s="9" t="s">
        <v>2154</v>
      </c>
      <c r="C537" s="9" t="s">
        <v>53</v>
      </c>
      <c r="D537" s="9" t="s">
        <v>2409</v>
      </c>
      <c r="E537" s="9" t="s">
        <v>2190</v>
      </c>
      <c r="F537" s="9" t="s">
        <v>2476</v>
      </c>
      <c r="G537" s="9" t="s">
        <v>2477</v>
      </c>
      <c r="H537" s="9" t="s">
        <v>2478</v>
      </c>
      <c r="I537" s="15">
        <v>105196</v>
      </c>
      <c r="J537" s="15">
        <v>87663.33</v>
      </c>
      <c r="K537" s="15">
        <v>17532.669999999998</v>
      </c>
    </row>
    <row r="538" spans="1:11">
      <c r="A538" s="9">
        <f t="shared" si="8"/>
        <v>533</v>
      </c>
      <c r="B538" s="9" t="s">
        <v>2154</v>
      </c>
      <c r="C538" s="9" t="s">
        <v>53</v>
      </c>
      <c r="D538" s="9" t="s">
        <v>2386</v>
      </c>
      <c r="E538" s="9" t="s">
        <v>2531</v>
      </c>
      <c r="F538" s="9" t="s">
        <v>2474</v>
      </c>
      <c r="G538" s="9" t="s">
        <v>294</v>
      </c>
      <c r="H538" s="9" t="s">
        <v>2475</v>
      </c>
      <c r="I538" s="15">
        <v>136000</v>
      </c>
      <c r="J538" s="15">
        <v>113333.33</v>
      </c>
      <c r="K538" s="15">
        <v>22666.67</v>
      </c>
    </row>
    <row r="539" spans="1:11">
      <c r="A539" s="9">
        <f t="shared" si="8"/>
        <v>534</v>
      </c>
      <c r="B539" s="9" t="s">
        <v>2154</v>
      </c>
      <c r="C539" s="9" t="s">
        <v>53</v>
      </c>
      <c r="D539" s="9" t="s">
        <v>76</v>
      </c>
      <c r="E539" s="9" t="s">
        <v>2192</v>
      </c>
      <c r="F539" s="9" t="s">
        <v>2402</v>
      </c>
      <c r="G539" s="9" t="s">
        <v>1727</v>
      </c>
      <c r="H539" s="9" t="s">
        <v>2403</v>
      </c>
      <c r="I539" s="15">
        <v>504000</v>
      </c>
      <c r="J539" s="15">
        <v>420000</v>
      </c>
      <c r="K539" s="15">
        <v>84000</v>
      </c>
    </row>
    <row r="540" spans="1:11">
      <c r="A540" s="9">
        <f t="shared" si="8"/>
        <v>535</v>
      </c>
      <c r="B540" s="9" t="s">
        <v>2154</v>
      </c>
      <c r="C540" s="9" t="s">
        <v>53</v>
      </c>
      <c r="D540" s="9" t="s">
        <v>2410</v>
      </c>
      <c r="E540" s="9" t="s">
        <v>2532</v>
      </c>
      <c r="F540" s="9" t="s">
        <v>2458</v>
      </c>
      <c r="G540" s="9" t="s">
        <v>239</v>
      </c>
      <c r="H540" s="9" t="s">
        <v>2459</v>
      </c>
      <c r="I540" s="15">
        <v>915750</v>
      </c>
      <c r="J540" s="15">
        <v>763125</v>
      </c>
      <c r="K540" s="15">
        <v>152625</v>
      </c>
    </row>
    <row r="541" spans="1:11">
      <c r="A541" s="9">
        <f t="shared" si="8"/>
        <v>536</v>
      </c>
      <c r="B541" s="9" t="s">
        <v>2154</v>
      </c>
      <c r="C541" s="9" t="s">
        <v>53</v>
      </c>
      <c r="D541" s="9" t="s">
        <v>132</v>
      </c>
      <c r="E541" s="9" t="s">
        <v>2532</v>
      </c>
      <c r="F541" s="9" t="s">
        <v>2527</v>
      </c>
      <c r="G541" s="9" t="s">
        <v>2528</v>
      </c>
      <c r="H541" s="9" t="s">
        <v>2529</v>
      </c>
      <c r="I541" s="15">
        <v>1800000</v>
      </c>
      <c r="J541" s="15">
        <v>1500000</v>
      </c>
      <c r="K541" s="15">
        <v>300000</v>
      </c>
    </row>
    <row r="542" spans="1:11">
      <c r="A542" s="9">
        <f t="shared" si="8"/>
        <v>537</v>
      </c>
      <c r="B542" s="9" t="s">
        <v>2154</v>
      </c>
      <c r="C542" s="9" t="s">
        <v>53</v>
      </c>
      <c r="D542" s="9" t="s">
        <v>434</v>
      </c>
      <c r="E542" s="9" t="s">
        <v>2198</v>
      </c>
      <c r="F542" s="9" t="s">
        <v>2439</v>
      </c>
      <c r="G542" s="9" t="s">
        <v>864</v>
      </c>
      <c r="H542" s="9" t="s">
        <v>2440</v>
      </c>
      <c r="I542" s="15">
        <v>1620000</v>
      </c>
      <c r="J542" s="15">
        <v>1350000</v>
      </c>
      <c r="K542" s="15">
        <v>270000</v>
      </c>
    </row>
    <row r="543" spans="1:11">
      <c r="A543" s="9">
        <f t="shared" si="8"/>
        <v>538</v>
      </c>
      <c r="B543" s="9" t="s">
        <v>2154</v>
      </c>
      <c r="C543" s="9" t="s">
        <v>53</v>
      </c>
      <c r="D543" s="9" t="s">
        <v>1984</v>
      </c>
      <c r="E543" s="9" t="s">
        <v>2198</v>
      </c>
      <c r="F543" s="9" t="s">
        <v>2225</v>
      </c>
      <c r="G543" s="9" t="s">
        <v>2226</v>
      </c>
      <c r="H543" s="9" t="s">
        <v>2227</v>
      </c>
      <c r="I543" s="15">
        <v>1800000</v>
      </c>
      <c r="J543" s="15">
        <v>1500000</v>
      </c>
      <c r="K543" s="15">
        <v>300000</v>
      </c>
    </row>
    <row r="544" spans="1:11">
      <c r="A544" s="9">
        <f t="shared" si="8"/>
        <v>539</v>
      </c>
      <c r="B544" s="9" t="s">
        <v>2154</v>
      </c>
      <c r="C544" s="9" t="s">
        <v>53</v>
      </c>
      <c r="D544" s="9" t="s">
        <v>459</v>
      </c>
      <c r="E544" s="9" t="s">
        <v>2533</v>
      </c>
      <c r="F544" s="9" t="s">
        <v>2511</v>
      </c>
      <c r="G544" s="9" t="s">
        <v>2427</v>
      </c>
      <c r="H544" s="9" t="s">
        <v>2512</v>
      </c>
      <c r="I544" s="15">
        <v>295460</v>
      </c>
      <c r="J544" s="15">
        <v>246216.67</v>
      </c>
      <c r="K544" s="15">
        <v>49243.33</v>
      </c>
    </row>
    <row r="545" spans="1:11">
      <c r="A545" s="9">
        <f t="shared" si="8"/>
        <v>540</v>
      </c>
      <c r="B545" s="9" t="s">
        <v>2154</v>
      </c>
      <c r="C545" s="9" t="s">
        <v>53</v>
      </c>
      <c r="D545" s="9" t="s">
        <v>823</v>
      </c>
      <c r="E545" s="9" t="s">
        <v>2200</v>
      </c>
      <c r="F545" s="9" t="s">
        <v>2534</v>
      </c>
      <c r="G545" s="9" t="s">
        <v>2535</v>
      </c>
      <c r="H545" s="9" t="s">
        <v>2536</v>
      </c>
      <c r="I545" s="15">
        <v>107030</v>
      </c>
      <c r="J545" s="15">
        <v>89191.67</v>
      </c>
      <c r="K545" s="15">
        <v>17838.330000000002</v>
      </c>
    </row>
    <row r="546" spans="1:11">
      <c r="A546" s="9">
        <f t="shared" si="8"/>
        <v>541</v>
      </c>
      <c r="B546" s="9" t="s">
        <v>2154</v>
      </c>
      <c r="C546" s="9" t="s">
        <v>53</v>
      </c>
      <c r="D546" s="9" t="s">
        <v>2413</v>
      </c>
      <c r="E546" s="9" t="s">
        <v>2537</v>
      </c>
      <c r="F546" s="9" t="s">
        <v>2439</v>
      </c>
      <c r="G546" s="9" t="s">
        <v>864</v>
      </c>
      <c r="H546" s="9" t="s">
        <v>2440</v>
      </c>
      <c r="I546" s="15">
        <v>1600000</v>
      </c>
      <c r="J546" s="15">
        <v>1333333.33</v>
      </c>
      <c r="K546" s="15">
        <v>266666.67</v>
      </c>
    </row>
    <row r="547" spans="1:11">
      <c r="A547" s="9">
        <f t="shared" si="8"/>
        <v>542</v>
      </c>
      <c r="B547" s="9" t="s">
        <v>2154</v>
      </c>
      <c r="C547" s="9" t="s">
        <v>53</v>
      </c>
      <c r="D547" s="9" t="s">
        <v>2414</v>
      </c>
      <c r="E547" s="9" t="s">
        <v>2202</v>
      </c>
      <c r="F547" s="9" t="s">
        <v>2538</v>
      </c>
      <c r="G547" s="9" t="s">
        <v>2539</v>
      </c>
      <c r="H547" s="9" t="s">
        <v>2540</v>
      </c>
      <c r="I547" s="15">
        <v>36700</v>
      </c>
      <c r="J547" s="15">
        <v>30583.33</v>
      </c>
      <c r="K547" s="15">
        <v>6116.67</v>
      </c>
    </row>
    <row r="548" spans="1:11">
      <c r="A548" s="9">
        <f t="shared" si="8"/>
        <v>543</v>
      </c>
      <c r="B548" s="9" t="s">
        <v>2154</v>
      </c>
      <c r="C548" s="9" t="s">
        <v>53</v>
      </c>
      <c r="D548" s="9" t="s">
        <v>2160</v>
      </c>
      <c r="E548" s="9" t="s">
        <v>2541</v>
      </c>
      <c r="F548" s="9" t="s">
        <v>2267</v>
      </c>
      <c r="G548" s="9" t="s">
        <v>2268</v>
      </c>
      <c r="H548" s="9" t="s">
        <v>2269</v>
      </c>
      <c r="I548" s="15">
        <v>398820</v>
      </c>
      <c r="J548" s="15">
        <v>332350</v>
      </c>
      <c r="K548" s="15">
        <v>66470</v>
      </c>
    </row>
    <row r="549" spans="1:11">
      <c r="A549" s="9">
        <f t="shared" si="8"/>
        <v>544</v>
      </c>
      <c r="B549" s="9" t="s">
        <v>2154</v>
      </c>
      <c r="C549" s="9" t="s">
        <v>53</v>
      </c>
      <c r="D549" s="9" t="s">
        <v>755</v>
      </c>
      <c r="E549" s="9" t="s">
        <v>2542</v>
      </c>
      <c r="F549" s="9" t="s">
        <v>2458</v>
      </c>
      <c r="G549" s="9" t="s">
        <v>239</v>
      </c>
      <c r="H549" s="9" t="s">
        <v>2459</v>
      </c>
      <c r="I549" s="15">
        <v>862647.5</v>
      </c>
      <c r="J549" s="15">
        <v>718872.92</v>
      </c>
      <c r="K549" s="15">
        <v>143774.57999999999</v>
      </c>
    </row>
    <row r="550" spans="1:11">
      <c r="A550" s="9">
        <f t="shared" si="8"/>
        <v>545</v>
      </c>
      <c r="B550" s="9" t="s">
        <v>2154</v>
      </c>
      <c r="C550" s="9" t="s">
        <v>53</v>
      </c>
      <c r="D550" s="9" t="s">
        <v>468</v>
      </c>
      <c r="E550" s="9" t="s">
        <v>2543</v>
      </c>
      <c r="F550" s="9" t="s">
        <v>2480</v>
      </c>
      <c r="G550" s="9" t="s">
        <v>2481</v>
      </c>
      <c r="H550" s="9" t="s">
        <v>2482</v>
      </c>
      <c r="I550" s="15">
        <v>1700000</v>
      </c>
      <c r="J550" s="15">
        <v>1416666.67</v>
      </c>
      <c r="K550" s="15">
        <v>283333.33</v>
      </c>
    </row>
    <row r="551" spans="1:11">
      <c r="A551" s="9">
        <f t="shared" si="8"/>
        <v>546</v>
      </c>
      <c r="B551" s="9" t="s">
        <v>2154</v>
      </c>
      <c r="C551" s="9" t="s">
        <v>53</v>
      </c>
      <c r="D551" s="9" t="s">
        <v>1296</v>
      </c>
      <c r="E551" s="9" t="s">
        <v>2544</v>
      </c>
      <c r="F551" s="9" t="s">
        <v>2511</v>
      </c>
      <c r="G551" s="9" t="s">
        <v>2427</v>
      </c>
      <c r="H551" s="9" t="s">
        <v>2512</v>
      </c>
      <c r="I551" s="15">
        <v>322660</v>
      </c>
      <c r="J551" s="15">
        <v>268883.33</v>
      </c>
      <c r="K551" s="15">
        <v>53776.67</v>
      </c>
    </row>
    <row r="552" spans="1:11">
      <c r="A552" s="9">
        <f t="shared" si="8"/>
        <v>547</v>
      </c>
      <c r="B552" s="9" t="s">
        <v>2154</v>
      </c>
      <c r="C552" s="9" t="s">
        <v>53</v>
      </c>
      <c r="D552" s="9" t="s">
        <v>1937</v>
      </c>
      <c r="E552" s="9" t="s">
        <v>2545</v>
      </c>
      <c r="F552" s="9" t="s">
        <v>2483</v>
      </c>
      <c r="G552" s="9" t="s">
        <v>2484</v>
      </c>
      <c r="H552" s="9" t="s">
        <v>2485</v>
      </c>
      <c r="I552" s="15">
        <v>33210</v>
      </c>
      <c r="J552" s="15">
        <v>27675</v>
      </c>
      <c r="K552" s="15">
        <v>5535</v>
      </c>
    </row>
    <row r="553" spans="1:11">
      <c r="A553" s="9">
        <f t="shared" si="8"/>
        <v>548</v>
      </c>
      <c r="B553" s="9" t="s">
        <v>2154</v>
      </c>
      <c r="C553" s="9" t="s">
        <v>53</v>
      </c>
      <c r="D553" s="9" t="s">
        <v>2419</v>
      </c>
      <c r="E553" s="9" t="s">
        <v>2546</v>
      </c>
      <c r="F553" s="9" t="s">
        <v>2445</v>
      </c>
      <c r="G553" s="9" t="s">
        <v>2446</v>
      </c>
      <c r="H553" s="9" t="s">
        <v>2447</v>
      </c>
      <c r="I553" s="15">
        <v>630000</v>
      </c>
      <c r="J553" s="15">
        <v>525000</v>
      </c>
      <c r="K553" s="15">
        <v>105000</v>
      </c>
    </row>
    <row r="554" spans="1:11">
      <c r="A554" s="9">
        <f t="shared" si="8"/>
        <v>549</v>
      </c>
      <c r="B554" s="9" t="s">
        <v>2154</v>
      </c>
      <c r="C554" s="9" t="s">
        <v>53</v>
      </c>
      <c r="D554" s="9" t="s">
        <v>987</v>
      </c>
      <c r="E554" s="9" t="s">
        <v>2208</v>
      </c>
      <c r="F554" s="9" t="s">
        <v>2402</v>
      </c>
      <c r="G554" s="9" t="s">
        <v>1727</v>
      </c>
      <c r="H554" s="9" t="s">
        <v>2403</v>
      </c>
      <c r="I554" s="15">
        <v>902000</v>
      </c>
      <c r="J554" s="15">
        <v>751666.67</v>
      </c>
      <c r="K554" s="15">
        <v>150333.32999999999</v>
      </c>
    </row>
    <row r="555" spans="1:11">
      <c r="A555" s="9">
        <f t="shared" si="8"/>
        <v>550</v>
      </c>
      <c r="B555" s="9" t="s">
        <v>2154</v>
      </c>
      <c r="C555" s="9" t="s">
        <v>53</v>
      </c>
      <c r="D555" s="9" t="s">
        <v>537</v>
      </c>
      <c r="E555" s="9" t="s">
        <v>2212</v>
      </c>
      <c r="F555" s="9" t="s">
        <v>2547</v>
      </c>
      <c r="G555" s="9" t="s">
        <v>36</v>
      </c>
      <c r="H555" s="9" t="s">
        <v>2548</v>
      </c>
      <c r="I555" s="15">
        <v>882000</v>
      </c>
      <c r="J555" s="15">
        <v>735000</v>
      </c>
      <c r="K555" s="15">
        <v>147000</v>
      </c>
    </row>
    <row r="556" spans="1:11">
      <c r="A556" s="9">
        <f t="shared" si="8"/>
        <v>551</v>
      </c>
      <c r="B556" s="9" t="s">
        <v>2154</v>
      </c>
      <c r="C556" s="9" t="s">
        <v>53</v>
      </c>
      <c r="D556" s="9" t="s">
        <v>1241</v>
      </c>
      <c r="E556" s="9" t="s">
        <v>2549</v>
      </c>
      <c r="F556" s="9" t="s">
        <v>2511</v>
      </c>
      <c r="G556" s="9" t="s">
        <v>2427</v>
      </c>
      <c r="H556" s="9" t="s">
        <v>2512</v>
      </c>
      <c r="I556" s="15">
        <v>408000</v>
      </c>
      <c r="J556" s="15">
        <v>340000</v>
      </c>
      <c r="K556" s="15">
        <v>68000</v>
      </c>
    </row>
    <row r="557" spans="1:11">
      <c r="A557" s="9">
        <f t="shared" si="8"/>
        <v>552</v>
      </c>
      <c r="B557" s="9" t="s">
        <v>2213</v>
      </c>
      <c r="C557" s="9" t="s">
        <v>182</v>
      </c>
      <c r="D557" s="9" t="s">
        <v>1288</v>
      </c>
      <c r="E557" s="9" t="s">
        <v>1289</v>
      </c>
      <c r="F557" s="9" t="s">
        <v>74</v>
      </c>
      <c r="G557" s="9" t="s">
        <v>75</v>
      </c>
      <c r="H557" s="9" t="s">
        <v>38</v>
      </c>
      <c r="I557" s="15">
        <v>410000</v>
      </c>
      <c r="J557" s="15">
        <v>0</v>
      </c>
      <c r="K557" s="15">
        <v>68333.33</v>
      </c>
    </row>
    <row r="558" spans="1:11">
      <c r="A558" s="9">
        <f t="shared" si="8"/>
        <v>553</v>
      </c>
      <c r="B558" s="9" t="s">
        <v>2213</v>
      </c>
      <c r="C558" s="9" t="s">
        <v>182</v>
      </c>
      <c r="D558" s="9" t="s">
        <v>1472</v>
      </c>
      <c r="E558" s="9" t="s">
        <v>1473</v>
      </c>
      <c r="F558" s="9" t="s">
        <v>74</v>
      </c>
      <c r="G558" s="9" t="s">
        <v>75</v>
      </c>
      <c r="H558" s="9" t="s">
        <v>38</v>
      </c>
      <c r="I558" s="15">
        <v>73722</v>
      </c>
      <c r="J558" s="15">
        <v>0</v>
      </c>
      <c r="K558" s="15">
        <v>12287</v>
      </c>
    </row>
    <row r="559" spans="1:11">
      <c r="A559" s="9">
        <f t="shared" si="8"/>
        <v>554</v>
      </c>
      <c r="B559" s="9" t="s">
        <v>2213</v>
      </c>
      <c r="C559" s="9" t="s">
        <v>182</v>
      </c>
      <c r="D559" s="9" t="s">
        <v>1517</v>
      </c>
      <c r="E559" s="9" t="s">
        <v>1518</v>
      </c>
      <c r="F559" s="9" t="s">
        <v>74</v>
      </c>
      <c r="G559" s="9" t="s">
        <v>75</v>
      </c>
      <c r="H559" s="9" t="s">
        <v>38</v>
      </c>
      <c r="I559" s="15">
        <v>73722</v>
      </c>
      <c r="J559" s="15">
        <v>0</v>
      </c>
      <c r="K559" s="15">
        <v>12287</v>
      </c>
    </row>
    <row r="560" spans="1:11">
      <c r="A560" s="9">
        <f t="shared" si="8"/>
        <v>555</v>
      </c>
      <c r="B560" s="9" t="s">
        <v>2213</v>
      </c>
      <c r="C560" s="9" t="s">
        <v>182</v>
      </c>
      <c r="D560" s="9" t="s">
        <v>1580</v>
      </c>
      <c r="E560" s="9" t="s">
        <v>1579</v>
      </c>
      <c r="F560" s="9" t="s">
        <v>74</v>
      </c>
      <c r="G560" s="9" t="s">
        <v>75</v>
      </c>
      <c r="H560" s="9" t="s">
        <v>38</v>
      </c>
      <c r="I560" s="15">
        <v>73722</v>
      </c>
      <c r="J560" s="15">
        <v>0</v>
      </c>
      <c r="K560" s="15">
        <v>12287</v>
      </c>
    </row>
    <row r="561" spans="1:11">
      <c r="A561" s="9">
        <f t="shared" si="8"/>
        <v>556</v>
      </c>
      <c r="B561" s="9" t="s">
        <v>2213</v>
      </c>
      <c r="C561" s="9" t="s">
        <v>182</v>
      </c>
      <c r="D561" s="9" t="s">
        <v>1578</v>
      </c>
      <c r="E561" s="9" t="s">
        <v>1579</v>
      </c>
      <c r="F561" s="9" t="s">
        <v>74</v>
      </c>
      <c r="G561" s="9" t="s">
        <v>75</v>
      </c>
      <c r="H561" s="9" t="s">
        <v>38</v>
      </c>
      <c r="I561" s="15">
        <v>200</v>
      </c>
      <c r="J561" s="15">
        <v>0</v>
      </c>
      <c r="K561" s="15">
        <v>33.33</v>
      </c>
    </row>
    <row r="562" spans="1:11">
      <c r="A562" s="9">
        <f t="shared" si="8"/>
        <v>557</v>
      </c>
      <c r="B562" s="9" t="s">
        <v>2213</v>
      </c>
      <c r="C562" s="9" t="s">
        <v>53</v>
      </c>
      <c r="D562" s="9" t="s">
        <v>2423</v>
      </c>
      <c r="E562" s="9" t="s">
        <v>2217</v>
      </c>
      <c r="F562" s="9" t="s">
        <v>2402</v>
      </c>
      <c r="G562" s="9" t="s">
        <v>1727</v>
      </c>
      <c r="H562" s="9" t="s">
        <v>2403</v>
      </c>
      <c r="I562" s="15">
        <v>1279200</v>
      </c>
      <c r="J562" s="15">
        <v>1066000</v>
      </c>
      <c r="K562" s="15">
        <v>213200</v>
      </c>
    </row>
    <row r="563" spans="1:11">
      <c r="A563" s="9">
        <f t="shared" si="8"/>
        <v>558</v>
      </c>
      <c r="B563" s="9" t="s">
        <v>2213</v>
      </c>
      <c r="C563" s="9" t="s">
        <v>53</v>
      </c>
      <c r="D563" s="9" t="s">
        <v>2550</v>
      </c>
      <c r="E563" s="9" t="s">
        <v>2551</v>
      </c>
      <c r="F563" s="9" t="s">
        <v>2480</v>
      </c>
      <c r="G563" s="9" t="s">
        <v>2481</v>
      </c>
      <c r="H563" s="9" t="s">
        <v>2482</v>
      </c>
      <c r="I563" s="15">
        <v>871250</v>
      </c>
      <c r="J563" s="15">
        <v>726041.67</v>
      </c>
      <c r="K563" s="15">
        <v>145208.32999999999</v>
      </c>
    </row>
    <row r="564" spans="1:11">
      <c r="A564" s="9">
        <f t="shared" si="8"/>
        <v>559</v>
      </c>
      <c r="B564" s="9" t="s">
        <v>2213</v>
      </c>
      <c r="C564" s="9" t="s">
        <v>53</v>
      </c>
      <c r="D564" s="9" t="s">
        <v>1493</v>
      </c>
      <c r="E564" s="9" t="s">
        <v>2218</v>
      </c>
      <c r="F564" s="9" t="s">
        <v>2476</v>
      </c>
      <c r="G564" s="9" t="s">
        <v>2477</v>
      </c>
      <c r="H564" s="9" t="s">
        <v>2478</v>
      </c>
      <c r="I564" s="15">
        <v>711120</v>
      </c>
      <c r="J564" s="15">
        <v>592600</v>
      </c>
      <c r="K564" s="15">
        <v>118520</v>
      </c>
    </row>
    <row r="565" spans="1:11">
      <c r="A565" s="9">
        <f t="shared" si="8"/>
        <v>560</v>
      </c>
      <c r="B565" s="9" t="s">
        <v>2213</v>
      </c>
      <c r="C565" s="9" t="s">
        <v>53</v>
      </c>
      <c r="D565" s="9" t="s">
        <v>109</v>
      </c>
      <c r="E565" s="9" t="s">
        <v>2552</v>
      </c>
      <c r="F565" s="9" t="s">
        <v>2480</v>
      </c>
      <c r="G565" s="9" t="s">
        <v>2481</v>
      </c>
      <c r="H565" s="9" t="s">
        <v>2482</v>
      </c>
      <c r="I565" s="15">
        <v>1640000</v>
      </c>
      <c r="J565" s="15">
        <v>1366666.67</v>
      </c>
      <c r="K565" s="15">
        <v>273333.33</v>
      </c>
    </row>
    <row r="566" spans="1:11">
      <c r="A566" s="9">
        <f t="shared" si="8"/>
        <v>561</v>
      </c>
      <c r="B566" s="9" t="s">
        <v>2213</v>
      </c>
      <c r="C566" s="9" t="s">
        <v>53</v>
      </c>
      <c r="D566" s="9" t="s">
        <v>794</v>
      </c>
      <c r="E566" s="9" t="s">
        <v>2553</v>
      </c>
      <c r="F566" s="9" t="s">
        <v>2547</v>
      </c>
      <c r="G566" s="9" t="s">
        <v>36</v>
      </c>
      <c r="H566" s="9" t="s">
        <v>2548</v>
      </c>
      <c r="I566" s="15">
        <v>950000</v>
      </c>
      <c r="J566" s="15">
        <v>791666.67</v>
      </c>
      <c r="K566" s="15">
        <v>158333.32999999999</v>
      </c>
    </row>
    <row r="567" spans="1:11">
      <c r="A567" s="9">
        <f t="shared" si="8"/>
        <v>562</v>
      </c>
      <c r="B567" s="9" t="s">
        <v>2213</v>
      </c>
      <c r="C567" s="9" t="s">
        <v>53</v>
      </c>
      <c r="D567" s="9" t="s">
        <v>1258</v>
      </c>
      <c r="E567" s="9" t="s">
        <v>2554</v>
      </c>
      <c r="F567" s="9" t="s">
        <v>2474</v>
      </c>
      <c r="G567" s="9" t="s">
        <v>294</v>
      </c>
      <c r="H567" s="9" t="s">
        <v>2475</v>
      </c>
      <c r="I567" s="15">
        <v>68000</v>
      </c>
      <c r="J567" s="15">
        <v>56666.67</v>
      </c>
      <c r="K567" s="15">
        <v>11333.33</v>
      </c>
    </row>
    <row r="568" spans="1:11">
      <c r="A568" s="9">
        <f t="shared" si="8"/>
        <v>563</v>
      </c>
      <c r="B568" s="9" t="s">
        <v>2213</v>
      </c>
      <c r="C568" s="9" t="s">
        <v>53</v>
      </c>
      <c r="D568" s="9" t="s">
        <v>993</v>
      </c>
      <c r="E568" s="9" t="s">
        <v>2555</v>
      </c>
      <c r="F568" s="9" t="s">
        <v>2480</v>
      </c>
      <c r="G568" s="9" t="s">
        <v>2481</v>
      </c>
      <c r="H568" s="9" t="s">
        <v>2482</v>
      </c>
      <c r="I568" s="15">
        <v>1472064</v>
      </c>
      <c r="J568" s="15">
        <v>1226720</v>
      </c>
      <c r="K568" s="15">
        <v>245344</v>
      </c>
    </row>
    <row r="569" spans="1:11">
      <c r="A569" s="9">
        <f t="shared" si="8"/>
        <v>564</v>
      </c>
      <c r="B569" s="9" t="s">
        <v>2213</v>
      </c>
      <c r="C569" s="9" t="s">
        <v>53</v>
      </c>
      <c r="D569" s="9" t="s">
        <v>2556</v>
      </c>
      <c r="E569" s="9" t="s">
        <v>2555</v>
      </c>
      <c r="F569" s="9" t="s">
        <v>2511</v>
      </c>
      <c r="G569" s="9" t="s">
        <v>2427</v>
      </c>
      <c r="H569" s="9" t="s">
        <v>2512</v>
      </c>
      <c r="I569" s="15">
        <v>346256</v>
      </c>
      <c r="J569" s="15">
        <v>288546.67</v>
      </c>
      <c r="K569" s="15">
        <v>57709.33</v>
      </c>
    </row>
    <row r="570" spans="1:11">
      <c r="A570" s="9">
        <f t="shared" si="8"/>
        <v>565</v>
      </c>
      <c r="B570" s="9" t="s">
        <v>2213</v>
      </c>
      <c r="C570" s="9" t="s">
        <v>53</v>
      </c>
      <c r="D570" s="9" t="s">
        <v>2557</v>
      </c>
      <c r="E570" s="9" t="s">
        <v>2558</v>
      </c>
      <c r="F570" s="9" t="s">
        <v>2480</v>
      </c>
      <c r="G570" s="9" t="s">
        <v>2481</v>
      </c>
      <c r="H570" s="9" t="s">
        <v>2482</v>
      </c>
      <c r="I570" s="15">
        <v>1640000</v>
      </c>
      <c r="J570" s="15">
        <v>1366666.67</v>
      </c>
      <c r="K570" s="15">
        <v>273333.33</v>
      </c>
    </row>
    <row r="571" spans="1:11">
      <c r="A571" s="9">
        <f t="shared" si="8"/>
        <v>566</v>
      </c>
      <c r="B571" s="9" t="s">
        <v>2213</v>
      </c>
      <c r="C571" s="9" t="s">
        <v>53</v>
      </c>
      <c r="D571" s="9" t="s">
        <v>2559</v>
      </c>
      <c r="E571" s="9" t="s">
        <v>2560</v>
      </c>
      <c r="F571" s="9" t="s">
        <v>2480</v>
      </c>
      <c r="G571" s="9" t="s">
        <v>2481</v>
      </c>
      <c r="H571" s="9" t="s">
        <v>2482</v>
      </c>
      <c r="I571" s="15">
        <v>1558000</v>
      </c>
      <c r="J571" s="15">
        <v>1298333.33</v>
      </c>
      <c r="K571" s="15">
        <v>259666.67</v>
      </c>
    </row>
    <row r="572" spans="1:11">
      <c r="A572" s="9">
        <f t="shared" si="8"/>
        <v>567</v>
      </c>
      <c r="B572" s="9" t="s">
        <v>2213</v>
      </c>
      <c r="C572" s="9" t="s">
        <v>53</v>
      </c>
      <c r="D572" s="9" t="s">
        <v>2081</v>
      </c>
      <c r="E572" s="9" t="s">
        <v>2561</v>
      </c>
      <c r="F572" s="9" t="s">
        <v>2527</v>
      </c>
      <c r="G572" s="9" t="s">
        <v>2528</v>
      </c>
      <c r="H572" s="9" t="s">
        <v>2529</v>
      </c>
      <c r="I572" s="15">
        <v>1800000</v>
      </c>
      <c r="J572" s="15">
        <v>1500000</v>
      </c>
      <c r="K572" s="15">
        <v>300000</v>
      </c>
    </row>
    <row r="573" spans="1:11">
      <c r="I573" s="17">
        <f>SUM(I6:I572)</f>
        <v>351385369.30000001</v>
      </c>
      <c r="J573" s="17">
        <f>SUM(J6:J572)</f>
        <v>219519620.26000011</v>
      </c>
      <c r="K573" s="17">
        <f>SUM(K6:K572)</f>
        <v>58470299.390000023</v>
      </c>
    </row>
    <row r="574" spans="1:11">
      <c r="I574" s="18">
        <f>'общая информация'!V10</f>
        <v>351385369.30000001</v>
      </c>
      <c r="J574" s="18"/>
      <c r="K574" s="18">
        <f>'общая информация'!V11</f>
        <v>58470299.390000001</v>
      </c>
    </row>
    <row r="575" spans="1:11">
      <c r="I575" s="19">
        <f>I574-I573</f>
        <v>0</v>
      </c>
      <c r="J575" s="19"/>
      <c r="K575" s="19">
        <f>K574-K573</f>
        <v>0</v>
      </c>
    </row>
  </sheetData>
  <autoFilter ref="A5:K575" xr:uid="{00000000-0009-0000-0000-000002000000}"/>
  <mergeCells count="5">
    <mergeCell ref="A1:K1"/>
    <mergeCell ref="B2:C2"/>
    <mergeCell ref="B3:C3"/>
    <mergeCell ref="D4:E4"/>
    <mergeCell ref="F4:H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47"/>
  <sheetViews>
    <sheetView workbookViewId="0">
      <pane ySplit="4" topLeftCell="A93" activePane="bottomLeft" state="frozen"/>
      <selection pane="bottomLeft" activeCell="E13" sqref="E13"/>
    </sheetView>
  </sheetViews>
  <sheetFormatPr defaultColWidth="8.85546875" defaultRowHeight="15"/>
  <cols>
    <col min="1" max="1" width="28.42578125"/>
    <col min="2" max="2" width="32.5703125" customWidth="1"/>
    <col min="3" max="3" width="20.5703125" style="48" customWidth="1"/>
    <col min="4" max="4" width="16.28515625" style="3" customWidth="1"/>
  </cols>
  <sheetData>
    <row r="1" spans="1:4">
      <c r="A1" t="s">
        <v>42</v>
      </c>
      <c r="B1" s="3" t="s">
        <v>2562</v>
      </c>
    </row>
    <row r="2" spans="1:4">
      <c r="A2" t="s">
        <v>43</v>
      </c>
      <c r="B2" s="3" t="s">
        <v>53</v>
      </c>
    </row>
    <row r="4" spans="1:4">
      <c r="A4" s="3" t="s">
        <v>47</v>
      </c>
      <c r="B4" s="3" t="s">
        <v>37</v>
      </c>
      <c r="C4" s="48" t="s">
        <v>2563</v>
      </c>
      <c r="D4" s="3" t="s">
        <v>2564</v>
      </c>
    </row>
    <row r="5" spans="1:4">
      <c r="A5" s="3" t="s">
        <v>2434</v>
      </c>
      <c r="B5" s="3"/>
      <c r="C5" s="49">
        <v>36283685</v>
      </c>
      <c r="D5" s="8">
        <v>0.137444907808765</v>
      </c>
    </row>
    <row r="6" spans="1:4">
      <c r="B6" s="3" t="s">
        <v>2435</v>
      </c>
      <c r="C6" s="49">
        <v>36283685</v>
      </c>
      <c r="D6" s="8">
        <v>0.137444907808765</v>
      </c>
    </row>
    <row r="7" spans="1:4">
      <c r="A7" s="3" t="s">
        <v>757</v>
      </c>
      <c r="B7" s="3"/>
      <c r="C7" s="49">
        <v>31998613</v>
      </c>
      <c r="D7" s="8">
        <v>0.121212782378453</v>
      </c>
    </row>
    <row r="8" spans="1:4">
      <c r="B8" s="3" t="s">
        <v>759</v>
      </c>
      <c r="C8" s="49">
        <v>31998613</v>
      </c>
      <c r="D8" s="8">
        <v>0.121212782378453</v>
      </c>
    </row>
    <row r="9" spans="1:4">
      <c r="A9" s="3" t="s">
        <v>2267</v>
      </c>
      <c r="B9" s="3"/>
      <c r="C9" s="49">
        <v>28349457</v>
      </c>
      <c r="D9" s="8">
        <v>0.107389547224697</v>
      </c>
    </row>
    <row r="10" spans="1:4">
      <c r="B10" s="3" t="s">
        <v>2269</v>
      </c>
      <c r="C10" s="49">
        <v>28349457</v>
      </c>
      <c r="D10" s="8">
        <v>0.107389547224697</v>
      </c>
    </row>
    <row r="11" spans="1:4">
      <c r="A11" s="3" t="s">
        <v>2402</v>
      </c>
      <c r="B11" s="3"/>
      <c r="C11" s="49">
        <v>23797668</v>
      </c>
      <c r="D11" s="8">
        <v>9.0147080824992995E-2</v>
      </c>
    </row>
    <row r="12" spans="1:4">
      <c r="B12" s="3" t="s">
        <v>2403</v>
      </c>
      <c r="C12" s="49">
        <v>23797668</v>
      </c>
      <c r="D12" s="8">
        <v>9.0147080824992995E-2</v>
      </c>
    </row>
    <row r="13" spans="1:4">
      <c r="A13" s="3" t="s">
        <v>2328</v>
      </c>
      <c r="B13" s="3"/>
      <c r="C13" s="49">
        <v>16392190</v>
      </c>
      <c r="D13" s="8">
        <v>6.2094658889629097E-2</v>
      </c>
    </row>
    <row r="14" spans="1:4">
      <c r="B14" s="3" t="s">
        <v>2330</v>
      </c>
      <c r="C14" s="49">
        <v>16392190</v>
      </c>
      <c r="D14" s="8">
        <v>6.2094658889629097E-2</v>
      </c>
    </row>
    <row r="15" spans="1:4">
      <c r="A15" s="3" t="s">
        <v>2439</v>
      </c>
      <c r="B15" s="3"/>
      <c r="C15" s="49">
        <v>14888676</v>
      </c>
      <c r="D15" s="8">
        <v>5.63992521766895E-2</v>
      </c>
    </row>
    <row r="16" spans="1:4">
      <c r="B16" s="3" t="s">
        <v>2440</v>
      </c>
      <c r="C16" s="49">
        <v>14888676</v>
      </c>
      <c r="D16" s="8">
        <v>5.63992521766895E-2</v>
      </c>
    </row>
    <row r="17" spans="1:4">
      <c r="A17" s="3" t="s">
        <v>2480</v>
      </c>
      <c r="B17" s="3"/>
      <c r="C17" s="49">
        <v>14040536</v>
      </c>
      <c r="D17" s="8">
        <v>5.3186443882578101E-2</v>
      </c>
    </row>
    <row r="18" spans="1:4">
      <c r="B18" s="3" t="s">
        <v>2482</v>
      </c>
      <c r="C18" s="49">
        <v>14040536</v>
      </c>
      <c r="D18" s="8">
        <v>5.3186443882578101E-2</v>
      </c>
    </row>
    <row r="19" spans="1:4">
      <c r="A19" s="3" t="s">
        <v>2458</v>
      </c>
      <c r="B19" s="3"/>
      <c r="C19" s="49">
        <v>9194981.5</v>
      </c>
      <c r="D19" s="8">
        <v>3.4831175074163397E-2</v>
      </c>
    </row>
    <row r="20" spans="1:4">
      <c r="B20" s="3" t="s">
        <v>2459</v>
      </c>
      <c r="C20" s="49">
        <v>9194981.5</v>
      </c>
      <c r="D20" s="8">
        <v>3.4831175074163397E-2</v>
      </c>
    </row>
    <row r="21" spans="1:4">
      <c r="A21" s="3" t="s">
        <v>2436</v>
      </c>
      <c r="B21" s="3"/>
      <c r="C21" s="49">
        <v>8082249</v>
      </c>
      <c r="D21" s="8">
        <v>3.0616073551858899E-2</v>
      </c>
    </row>
    <row r="22" spans="1:4">
      <c r="B22" s="3" t="s">
        <v>2438</v>
      </c>
      <c r="C22" s="49">
        <v>8082249</v>
      </c>
      <c r="D22" s="8">
        <v>3.0616073551858899E-2</v>
      </c>
    </row>
    <row r="23" spans="1:4">
      <c r="A23" s="3" t="s">
        <v>2362</v>
      </c>
      <c r="B23" s="3"/>
      <c r="C23" s="49">
        <v>6571013</v>
      </c>
      <c r="D23" s="8">
        <v>2.4891415411505E-2</v>
      </c>
    </row>
    <row r="24" spans="1:4">
      <c r="B24" s="3" t="s">
        <v>2363</v>
      </c>
      <c r="C24" s="49">
        <v>6571013</v>
      </c>
      <c r="D24" s="8">
        <v>2.4891415411505E-2</v>
      </c>
    </row>
    <row r="25" spans="1:4">
      <c r="A25" s="3" t="s">
        <v>2225</v>
      </c>
      <c r="B25" s="3"/>
      <c r="C25" s="49">
        <v>5604128</v>
      </c>
      <c r="D25" s="8">
        <v>2.1228793500674401E-2</v>
      </c>
    </row>
    <row r="26" spans="1:4">
      <c r="B26" s="3" t="s">
        <v>2227</v>
      </c>
      <c r="C26" s="49">
        <v>5604128</v>
      </c>
      <c r="D26" s="8">
        <v>2.1228793500674401E-2</v>
      </c>
    </row>
    <row r="27" spans="1:4">
      <c r="A27" s="3" t="s">
        <v>2527</v>
      </c>
      <c r="B27" s="3"/>
      <c r="C27" s="49">
        <v>5400000</v>
      </c>
      <c r="D27" s="8">
        <v>2.0455543646333799E-2</v>
      </c>
    </row>
    <row r="28" spans="1:4">
      <c r="B28" s="3" t="s">
        <v>2529</v>
      </c>
      <c r="C28" s="49">
        <v>5400000</v>
      </c>
      <c r="D28" s="8">
        <v>2.0455543646333799E-2</v>
      </c>
    </row>
    <row r="29" spans="1:4">
      <c r="A29" s="3" t="s">
        <v>650</v>
      </c>
      <c r="B29" s="3"/>
      <c r="C29" s="49">
        <v>5276976.5</v>
      </c>
      <c r="D29" s="8">
        <v>1.9989522799338501E-2</v>
      </c>
    </row>
    <row r="30" spans="1:4">
      <c r="B30" s="3" t="s">
        <v>652</v>
      </c>
      <c r="C30" s="49">
        <v>5276976.5</v>
      </c>
      <c r="D30" s="8">
        <v>1.9989522799338501E-2</v>
      </c>
    </row>
    <row r="31" spans="1:4">
      <c r="A31" s="3" t="s">
        <v>2483</v>
      </c>
      <c r="B31" s="3"/>
      <c r="C31" s="49">
        <v>4610210</v>
      </c>
      <c r="D31" s="8">
        <v>1.7463768865512E-2</v>
      </c>
    </row>
    <row r="32" spans="1:4">
      <c r="B32" s="3" t="s">
        <v>2485</v>
      </c>
      <c r="C32" s="49">
        <v>4610210</v>
      </c>
      <c r="D32" s="8">
        <v>1.7463768865512E-2</v>
      </c>
    </row>
    <row r="33" spans="1:4">
      <c r="A33" s="3" t="s">
        <v>2492</v>
      </c>
      <c r="B33" s="3"/>
      <c r="C33" s="49">
        <v>4573465</v>
      </c>
      <c r="D33" s="8">
        <v>1.7324576467125999E-2</v>
      </c>
    </row>
    <row r="34" spans="1:4">
      <c r="B34" s="3" t="s">
        <v>2493</v>
      </c>
      <c r="C34" s="49">
        <v>4573465</v>
      </c>
      <c r="D34" s="8">
        <v>1.7324576467125999E-2</v>
      </c>
    </row>
    <row r="35" spans="1:4">
      <c r="A35" s="3" t="s">
        <v>2417</v>
      </c>
      <c r="B35" s="3"/>
      <c r="C35" s="49">
        <v>3410000</v>
      </c>
      <c r="D35" s="8">
        <v>1.2917297006296E-2</v>
      </c>
    </row>
    <row r="36" spans="1:4">
      <c r="B36" s="3" t="s">
        <v>2418</v>
      </c>
      <c r="C36" s="49">
        <v>3410000</v>
      </c>
      <c r="D36" s="8">
        <v>1.2917297006296E-2</v>
      </c>
    </row>
    <row r="37" spans="1:4">
      <c r="A37" s="3" t="s">
        <v>2384</v>
      </c>
      <c r="B37" s="3"/>
      <c r="C37" s="49">
        <v>3327156</v>
      </c>
      <c r="D37" s="8">
        <v>1.26034786622521E-2</v>
      </c>
    </row>
    <row r="38" spans="1:4">
      <c r="B38" s="3" t="s">
        <v>2385</v>
      </c>
      <c r="C38" s="49">
        <v>3327156</v>
      </c>
      <c r="D38" s="8">
        <v>1.26034786622521E-2</v>
      </c>
    </row>
    <row r="39" spans="1:4">
      <c r="A39" s="3" t="s">
        <v>2353</v>
      </c>
      <c r="B39" s="3"/>
      <c r="C39" s="49">
        <v>3124816</v>
      </c>
      <c r="D39" s="8">
        <v>1.18370018656967E-2</v>
      </c>
    </row>
    <row r="40" spans="1:4">
      <c r="B40" s="3" t="s">
        <v>2354</v>
      </c>
      <c r="C40" s="49">
        <v>3124816</v>
      </c>
      <c r="D40" s="8">
        <v>1.18370018656967E-2</v>
      </c>
    </row>
    <row r="41" spans="1:4">
      <c r="A41" s="3" t="s">
        <v>895</v>
      </c>
      <c r="B41" s="3"/>
      <c r="C41" s="49">
        <v>3078715</v>
      </c>
      <c r="D41" s="8">
        <v>1.16623683439116E-2</v>
      </c>
    </row>
    <row r="42" spans="1:4">
      <c r="B42" s="3" t="s">
        <v>897</v>
      </c>
      <c r="C42" s="49">
        <v>3078715</v>
      </c>
      <c r="D42" s="8">
        <v>1.16623683439116E-2</v>
      </c>
    </row>
    <row r="43" spans="1:4">
      <c r="A43" s="3" t="s">
        <v>2511</v>
      </c>
      <c r="B43" s="3"/>
      <c r="C43" s="49">
        <v>2702747</v>
      </c>
      <c r="D43" s="8">
        <v>1.02381776339811E-2</v>
      </c>
    </row>
    <row r="44" spans="1:4">
      <c r="B44" s="3" t="s">
        <v>2512</v>
      </c>
      <c r="C44" s="49">
        <v>2702747</v>
      </c>
      <c r="D44" s="8">
        <v>1.02381776339811E-2</v>
      </c>
    </row>
    <row r="45" spans="1:4">
      <c r="A45" s="3" t="s">
        <v>2445</v>
      </c>
      <c r="B45" s="3"/>
      <c r="C45" s="49">
        <v>2109250</v>
      </c>
      <c r="D45" s="8">
        <v>7.9899732288943801E-3</v>
      </c>
    </row>
    <row r="46" spans="1:4">
      <c r="B46" s="3" t="s">
        <v>2447</v>
      </c>
      <c r="C46" s="49">
        <v>2109250</v>
      </c>
      <c r="D46" s="8">
        <v>7.9899732288943801E-3</v>
      </c>
    </row>
    <row r="47" spans="1:4">
      <c r="A47" s="3" t="s">
        <v>2239</v>
      </c>
      <c r="B47" s="3"/>
      <c r="C47" s="49">
        <v>2107860</v>
      </c>
      <c r="D47" s="8">
        <v>7.9847078204372708E-3</v>
      </c>
    </row>
    <row r="48" spans="1:4">
      <c r="B48" s="3" t="s">
        <v>2240</v>
      </c>
      <c r="C48" s="49">
        <v>2107860</v>
      </c>
      <c r="D48" s="8">
        <v>7.9847078204372708E-3</v>
      </c>
    </row>
    <row r="49" spans="1:4">
      <c r="A49" s="3" t="s">
        <v>2476</v>
      </c>
      <c r="B49" s="3"/>
      <c r="C49" s="49">
        <v>1968152</v>
      </c>
      <c r="D49" s="8">
        <v>7.4554850256702302E-3</v>
      </c>
    </row>
    <row r="50" spans="1:4">
      <c r="B50" s="3" t="s">
        <v>2478</v>
      </c>
      <c r="C50" s="49">
        <v>1968152</v>
      </c>
      <c r="D50" s="8">
        <v>7.4554850256702302E-3</v>
      </c>
    </row>
    <row r="51" spans="1:4">
      <c r="A51" s="3" t="s">
        <v>2284</v>
      </c>
      <c r="B51" s="3"/>
      <c r="C51" s="49">
        <v>1870000</v>
      </c>
      <c r="D51" s="8">
        <v>7.0836790034526399E-3</v>
      </c>
    </row>
    <row r="52" spans="1:4">
      <c r="B52" s="3" t="s">
        <v>2286</v>
      </c>
      <c r="C52" s="49">
        <v>1870000</v>
      </c>
      <c r="D52" s="8">
        <v>7.0836790034526399E-3</v>
      </c>
    </row>
    <row r="53" spans="1:4">
      <c r="A53" s="3" t="s">
        <v>2547</v>
      </c>
      <c r="B53" s="3"/>
      <c r="C53" s="49">
        <v>1832000</v>
      </c>
      <c r="D53" s="8">
        <v>6.9397325852006602E-3</v>
      </c>
    </row>
    <row r="54" spans="1:4">
      <c r="B54" s="3" t="s">
        <v>2548</v>
      </c>
      <c r="C54" s="49">
        <v>1832000</v>
      </c>
      <c r="D54" s="8">
        <v>6.9397325852006602E-3</v>
      </c>
    </row>
    <row r="55" spans="1:4">
      <c r="A55" s="3" t="s">
        <v>1328</v>
      </c>
      <c r="B55" s="3"/>
      <c r="C55" s="49">
        <v>1717856</v>
      </c>
      <c r="D55" s="8">
        <v>6.5073478492808298E-3</v>
      </c>
    </row>
    <row r="56" spans="1:4">
      <c r="B56" s="3" t="s">
        <v>1330</v>
      </c>
      <c r="C56" s="49">
        <v>1717856</v>
      </c>
      <c r="D56" s="8">
        <v>6.5073478492808298E-3</v>
      </c>
    </row>
    <row r="57" spans="1:4">
      <c r="A57" s="3" t="s">
        <v>2257</v>
      </c>
      <c r="B57" s="3"/>
      <c r="C57" s="49">
        <v>1670404</v>
      </c>
      <c r="D57" s="8">
        <v>6.3275966535204899E-3</v>
      </c>
    </row>
    <row r="58" spans="1:4">
      <c r="B58" s="3" t="s">
        <v>2258</v>
      </c>
      <c r="C58" s="49">
        <v>1670404</v>
      </c>
      <c r="D58" s="8">
        <v>6.3275966535204899E-3</v>
      </c>
    </row>
    <row r="59" spans="1:4">
      <c r="A59" s="3" t="s">
        <v>2430</v>
      </c>
      <c r="B59" s="3"/>
      <c r="C59" s="49">
        <v>1634692</v>
      </c>
      <c r="D59" s="8">
        <v>6.1923173248727304E-3</v>
      </c>
    </row>
    <row r="60" spans="1:4">
      <c r="B60" s="3" t="s">
        <v>2432</v>
      </c>
      <c r="C60" s="49">
        <v>1634692</v>
      </c>
      <c r="D60" s="8">
        <v>6.1923173248727304E-3</v>
      </c>
    </row>
    <row r="61" spans="1:4">
      <c r="A61" s="3" t="s">
        <v>2488</v>
      </c>
      <c r="B61" s="3"/>
      <c r="C61" s="49">
        <v>1591518</v>
      </c>
      <c r="D61" s="8">
        <v>6.0287714653566504E-3</v>
      </c>
    </row>
    <row r="62" spans="1:4">
      <c r="B62" s="3" t="s">
        <v>2489</v>
      </c>
      <c r="C62" s="49">
        <v>1591518</v>
      </c>
      <c r="D62" s="8">
        <v>6.0287714653566504E-3</v>
      </c>
    </row>
    <row r="63" spans="1:4">
      <c r="A63" s="3" t="s">
        <v>2392</v>
      </c>
      <c r="B63" s="3"/>
      <c r="C63" s="49">
        <v>1543275</v>
      </c>
      <c r="D63" s="8">
        <v>5.8460239112584902E-3</v>
      </c>
    </row>
    <row r="64" spans="1:4">
      <c r="B64" s="3" t="s">
        <v>2393</v>
      </c>
      <c r="C64" s="49">
        <v>1543275</v>
      </c>
      <c r="D64" s="8">
        <v>5.8460239112584902E-3</v>
      </c>
    </row>
    <row r="65" spans="1:4">
      <c r="A65" s="3" t="s">
        <v>2302</v>
      </c>
      <c r="B65" s="3"/>
      <c r="C65" s="49">
        <v>1229470</v>
      </c>
      <c r="D65" s="8">
        <v>4.6573106012700099E-3</v>
      </c>
    </row>
    <row r="66" spans="1:4">
      <c r="B66" s="3" t="s">
        <v>2303</v>
      </c>
      <c r="C66" s="49">
        <v>1229470</v>
      </c>
      <c r="D66" s="8">
        <v>4.6573106012700099E-3</v>
      </c>
    </row>
    <row r="67" spans="1:4">
      <c r="A67" s="3" t="s">
        <v>2443</v>
      </c>
      <c r="B67" s="3"/>
      <c r="C67" s="49">
        <v>1190218</v>
      </c>
      <c r="D67" s="8">
        <v>4.5086215273429896E-3</v>
      </c>
    </row>
    <row r="68" spans="1:4">
      <c r="B68" s="3" t="s">
        <v>2444</v>
      </c>
      <c r="C68" s="49">
        <v>1190218</v>
      </c>
      <c r="D68" s="8">
        <v>4.5086215273429896E-3</v>
      </c>
    </row>
    <row r="69" spans="1:4">
      <c r="A69" s="3" t="s">
        <v>2497</v>
      </c>
      <c r="B69" s="3"/>
      <c r="C69" s="49">
        <v>1050000</v>
      </c>
      <c r="D69" s="8">
        <v>3.9774668201204696E-3</v>
      </c>
    </row>
    <row r="70" spans="1:4">
      <c r="B70" s="3" t="s">
        <v>2499</v>
      </c>
      <c r="C70" s="49">
        <v>1050000</v>
      </c>
      <c r="D70" s="8">
        <v>3.9774668201204696E-3</v>
      </c>
    </row>
    <row r="71" spans="1:4">
      <c r="A71" s="3" t="s">
        <v>2297</v>
      </c>
      <c r="B71" s="3"/>
      <c r="C71" s="49">
        <v>887655</v>
      </c>
      <c r="D71" s="8">
        <v>3.36249362877527E-3</v>
      </c>
    </row>
    <row r="72" spans="1:4">
      <c r="B72" s="3" t="s">
        <v>2299</v>
      </c>
      <c r="C72" s="49">
        <v>887655</v>
      </c>
      <c r="D72" s="8">
        <v>3.36249362877527E-3</v>
      </c>
    </row>
    <row r="73" spans="1:4">
      <c r="A73" s="3" t="s">
        <v>2389</v>
      </c>
      <c r="B73" s="3"/>
      <c r="C73" s="49">
        <v>836000</v>
      </c>
      <c r="D73" s="8">
        <v>3.1668212015435299E-3</v>
      </c>
    </row>
    <row r="74" spans="1:4">
      <c r="B74" s="3" t="s">
        <v>2390</v>
      </c>
      <c r="C74" s="49">
        <v>836000</v>
      </c>
      <c r="D74" s="8">
        <v>3.1668212015435299E-3</v>
      </c>
    </row>
    <row r="75" spans="1:4">
      <c r="A75" s="3" t="s">
        <v>2232</v>
      </c>
      <c r="B75" s="3"/>
      <c r="C75" s="49">
        <v>835600.3</v>
      </c>
      <c r="D75" s="8">
        <v>3.1653071125073398E-3</v>
      </c>
    </row>
    <row r="76" spans="1:4">
      <c r="B76" s="3" t="s">
        <v>2234</v>
      </c>
      <c r="C76" s="49">
        <v>835600.3</v>
      </c>
      <c r="D76" s="8">
        <v>3.1653071125073398E-3</v>
      </c>
    </row>
    <row r="77" spans="1:4">
      <c r="A77" s="3" t="s">
        <v>2426</v>
      </c>
      <c r="B77" s="3"/>
      <c r="C77" s="49">
        <v>800000</v>
      </c>
      <c r="D77" s="8">
        <v>3.03045091056798E-3</v>
      </c>
    </row>
    <row r="78" spans="1:4">
      <c r="B78" s="3" t="s">
        <v>2428</v>
      </c>
      <c r="C78" s="49">
        <v>800000</v>
      </c>
      <c r="D78" s="8">
        <v>3.03045091056798E-3</v>
      </c>
    </row>
    <row r="79" spans="1:4">
      <c r="A79" s="3" t="s">
        <v>2332</v>
      </c>
      <c r="B79" s="3"/>
      <c r="C79" s="49">
        <v>766818</v>
      </c>
      <c r="D79" s="8">
        <v>2.9047553829248899E-3</v>
      </c>
    </row>
    <row r="80" spans="1:4">
      <c r="B80" s="3" t="s">
        <v>2334</v>
      </c>
      <c r="C80" s="49">
        <v>766818</v>
      </c>
      <c r="D80" s="8">
        <v>2.9047553829248899E-3</v>
      </c>
    </row>
    <row r="81" spans="1:4">
      <c r="A81" s="3" t="s">
        <v>2236</v>
      </c>
      <c r="B81" s="3"/>
      <c r="C81" s="49">
        <v>598500</v>
      </c>
      <c r="D81" s="8">
        <v>2.2671560874686701E-3</v>
      </c>
    </row>
    <row r="82" spans="1:4">
      <c r="B82" s="3" t="s">
        <v>2237</v>
      </c>
      <c r="C82" s="49">
        <v>598500</v>
      </c>
      <c r="D82" s="8">
        <v>2.2671560874686701E-3</v>
      </c>
    </row>
    <row r="83" spans="1:4">
      <c r="A83" s="3" t="s">
        <v>2364</v>
      </c>
      <c r="B83" s="3"/>
      <c r="C83" s="49">
        <v>577300</v>
      </c>
      <c r="D83" s="8">
        <v>2.1868491383386199E-3</v>
      </c>
    </row>
    <row r="84" spans="1:4">
      <c r="B84" s="3" t="s">
        <v>2366</v>
      </c>
      <c r="C84" s="49">
        <v>577300</v>
      </c>
      <c r="D84" s="8">
        <v>2.1868491383386199E-3</v>
      </c>
    </row>
    <row r="85" spans="1:4">
      <c r="A85" s="3" t="s">
        <v>409</v>
      </c>
      <c r="B85" s="3"/>
      <c r="C85" s="49">
        <v>480000</v>
      </c>
      <c r="D85" s="8">
        <v>1.81827054634079E-3</v>
      </c>
    </row>
    <row r="86" spans="1:4">
      <c r="B86" s="3" t="s">
        <v>411</v>
      </c>
      <c r="C86" s="49">
        <v>480000</v>
      </c>
      <c r="D86" s="8">
        <v>1.81827054634079E-3</v>
      </c>
    </row>
    <row r="87" spans="1:4">
      <c r="A87" s="3" t="s">
        <v>2518</v>
      </c>
      <c r="B87" s="3"/>
      <c r="C87" s="49">
        <v>479601</v>
      </c>
      <c r="D87" s="8">
        <v>1.8167591089491399E-3</v>
      </c>
    </row>
    <row r="88" spans="1:4">
      <c r="B88" s="3" t="s">
        <v>2520</v>
      </c>
      <c r="C88" s="49">
        <v>479601</v>
      </c>
      <c r="D88" s="8">
        <v>1.8167591089491399E-3</v>
      </c>
    </row>
    <row r="89" spans="1:4">
      <c r="A89" s="3" t="s">
        <v>2508</v>
      </c>
      <c r="B89" s="3"/>
      <c r="C89" s="49">
        <v>468420</v>
      </c>
      <c r="D89" s="8">
        <v>1.77440476941031E-3</v>
      </c>
    </row>
    <row r="90" spans="1:4">
      <c r="B90" s="3" t="s">
        <v>2509</v>
      </c>
      <c r="C90" s="49">
        <v>468420</v>
      </c>
      <c r="D90" s="8">
        <v>1.77440476941031E-3</v>
      </c>
    </row>
    <row r="91" spans="1:4">
      <c r="A91" s="3" t="s">
        <v>2280</v>
      </c>
      <c r="B91" s="3"/>
      <c r="C91" s="49">
        <v>452220</v>
      </c>
      <c r="D91" s="8">
        <v>1.71303813847131E-3</v>
      </c>
    </row>
    <row r="92" spans="1:4">
      <c r="B92" s="3" t="s">
        <v>2282</v>
      </c>
      <c r="C92" s="49">
        <v>452220</v>
      </c>
      <c r="D92" s="8">
        <v>1.71303813847131E-3</v>
      </c>
    </row>
    <row r="93" spans="1:4">
      <c r="A93" s="3" t="s">
        <v>1713</v>
      </c>
      <c r="B93" s="3"/>
      <c r="C93" s="49">
        <v>451200</v>
      </c>
      <c r="D93" s="8">
        <v>1.70917431356034E-3</v>
      </c>
    </row>
    <row r="94" spans="1:4">
      <c r="B94" s="3" t="s">
        <v>1714</v>
      </c>
      <c r="C94" s="49">
        <v>451200</v>
      </c>
      <c r="D94" s="8">
        <v>1.70917431356034E-3</v>
      </c>
    </row>
    <row r="95" spans="1:4">
      <c r="A95" s="3" t="s">
        <v>2263</v>
      </c>
      <c r="B95" s="3"/>
      <c r="C95" s="49">
        <v>449145</v>
      </c>
      <c r="D95" s="8">
        <v>1.7013898427838199E-3</v>
      </c>
    </row>
    <row r="96" spans="1:4">
      <c r="B96" s="3" t="s">
        <v>2264</v>
      </c>
      <c r="C96" s="49">
        <v>449145</v>
      </c>
      <c r="D96" s="8">
        <v>1.7013898427838199E-3</v>
      </c>
    </row>
    <row r="97" spans="1:4">
      <c r="A97" s="3" t="s">
        <v>2276</v>
      </c>
      <c r="B97" s="3"/>
      <c r="C97" s="49">
        <v>440875</v>
      </c>
      <c r="D97" s="8">
        <v>1.6700625564958201E-3</v>
      </c>
    </row>
    <row r="98" spans="1:4">
      <c r="B98" s="3" t="s">
        <v>2278</v>
      </c>
      <c r="C98" s="49">
        <v>440875</v>
      </c>
      <c r="D98" s="8">
        <v>1.6700625564958201E-3</v>
      </c>
    </row>
    <row r="99" spans="1:4">
      <c r="A99" s="3" t="s">
        <v>2254</v>
      </c>
      <c r="B99" s="3"/>
      <c r="C99" s="49">
        <v>424316</v>
      </c>
      <c r="D99" s="8">
        <v>1.6073360107106999E-3</v>
      </c>
    </row>
    <row r="100" spans="1:4">
      <c r="B100" s="3" t="s">
        <v>2256</v>
      </c>
      <c r="C100" s="49">
        <v>424316</v>
      </c>
      <c r="D100" s="8">
        <v>1.6073360107106999E-3</v>
      </c>
    </row>
    <row r="101" spans="1:4">
      <c r="A101" s="3" t="s">
        <v>2396</v>
      </c>
      <c r="B101" s="3"/>
      <c r="C101" s="49">
        <v>414520</v>
      </c>
      <c r="D101" s="8">
        <v>1.5702281393108E-3</v>
      </c>
    </row>
    <row r="102" spans="1:4">
      <c r="B102" s="3" t="s">
        <v>2397</v>
      </c>
      <c r="C102" s="49">
        <v>414520</v>
      </c>
      <c r="D102" s="8">
        <v>1.5702281393108E-3</v>
      </c>
    </row>
    <row r="103" spans="1:4">
      <c r="A103" s="3" t="s">
        <v>2474</v>
      </c>
      <c r="B103" s="3"/>
      <c r="C103" s="49">
        <v>365000</v>
      </c>
      <c r="D103" s="8">
        <v>1.3826432279466401E-3</v>
      </c>
    </row>
    <row r="104" spans="1:4">
      <c r="B104" s="3" t="s">
        <v>2475</v>
      </c>
      <c r="C104" s="49">
        <v>365000</v>
      </c>
      <c r="D104" s="8">
        <v>1.3826432279466401E-3</v>
      </c>
    </row>
    <row r="105" spans="1:4">
      <c r="A105" s="3" t="s">
        <v>2506</v>
      </c>
      <c r="B105" s="3"/>
      <c r="C105" s="49">
        <v>352000</v>
      </c>
      <c r="D105" s="8">
        <v>1.3333984006499099E-3</v>
      </c>
    </row>
    <row r="106" spans="1:4">
      <c r="B106" s="3" t="s">
        <v>2507</v>
      </c>
      <c r="C106" s="49">
        <v>352000</v>
      </c>
      <c r="D106" s="8">
        <v>1.3333984006499099E-3</v>
      </c>
    </row>
    <row r="107" spans="1:4">
      <c r="A107" s="3" t="s">
        <v>2339</v>
      </c>
      <c r="B107" s="3"/>
      <c r="C107" s="49">
        <v>328900</v>
      </c>
      <c r="D107" s="8">
        <v>1.24589413060726E-3</v>
      </c>
    </row>
    <row r="108" spans="1:4">
      <c r="B108" s="3" t="s">
        <v>2341</v>
      </c>
      <c r="C108" s="49">
        <v>328900</v>
      </c>
      <c r="D108" s="8">
        <v>1.24589413060726E-3</v>
      </c>
    </row>
    <row r="109" spans="1:4">
      <c r="A109" s="3" t="s">
        <v>2346</v>
      </c>
      <c r="B109" s="3"/>
      <c r="C109" s="49">
        <v>307440</v>
      </c>
      <c r="D109" s="8">
        <v>1.16460228493127E-3</v>
      </c>
    </row>
    <row r="110" spans="1:4">
      <c r="B110" s="3" t="s">
        <v>2348</v>
      </c>
      <c r="C110" s="49">
        <v>307440</v>
      </c>
      <c r="D110" s="8">
        <v>1.16460228493127E-3</v>
      </c>
    </row>
    <row r="111" spans="1:4">
      <c r="A111" s="3" t="s">
        <v>2318</v>
      </c>
      <c r="B111" s="3"/>
      <c r="C111" s="49">
        <v>246848</v>
      </c>
      <c r="D111" s="8">
        <v>9.3507593296485495E-4</v>
      </c>
    </row>
    <row r="112" spans="1:4">
      <c r="B112" s="3" t="s">
        <v>2320</v>
      </c>
      <c r="C112" s="49">
        <v>246848</v>
      </c>
      <c r="D112" s="8">
        <v>9.3507593296485495E-4</v>
      </c>
    </row>
    <row r="113" spans="1:4">
      <c r="A113" s="3" t="s">
        <v>2323</v>
      </c>
      <c r="B113" s="3"/>
      <c r="C113" s="49">
        <v>158000</v>
      </c>
      <c r="D113" s="8">
        <v>5.9851405483717503E-4</v>
      </c>
    </row>
    <row r="114" spans="1:4">
      <c r="B114" s="3" t="s">
        <v>2325</v>
      </c>
      <c r="C114" s="49">
        <v>158000</v>
      </c>
      <c r="D114" s="8">
        <v>5.9851405483717503E-4</v>
      </c>
    </row>
    <row r="115" spans="1:4">
      <c r="A115" s="3" t="s">
        <v>2513</v>
      </c>
      <c r="B115" s="3"/>
      <c r="C115" s="49">
        <v>137200</v>
      </c>
      <c r="D115" s="8">
        <v>5.1972233116240796E-4</v>
      </c>
    </row>
    <row r="116" spans="1:4">
      <c r="B116" s="3" t="s">
        <v>2514</v>
      </c>
      <c r="C116" s="49">
        <v>137200</v>
      </c>
      <c r="D116" s="8">
        <v>5.1972233116240796E-4</v>
      </c>
    </row>
    <row r="117" spans="1:4">
      <c r="A117" s="3" t="s">
        <v>2229</v>
      </c>
      <c r="B117" s="3"/>
      <c r="C117" s="49">
        <v>128000</v>
      </c>
      <c r="D117" s="8">
        <v>4.8487214569087599E-4</v>
      </c>
    </row>
    <row r="118" spans="1:4">
      <c r="B118" s="3" t="s">
        <v>2230</v>
      </c>
      <c r="C118" s="49">
        <v>128000</v>
      </c>
      <c r="D118" s="8">
        <v>4.8487214569087599E-4</v>
      </c>
    </row>
    <row r="119" spans="1:4">
      <c r="A119" s="3" t="s">
        <v>2534</v>
      </c>
      <c r="B119" s="3"/>
      <c r="C119" s="49">
        <v>107030</v>
      </c>
      <c r="D119" s="8">
        <v>4.0543645119761298E-4</v>
      </c>
    </row>
    <row r="120" spans="1:4">
      <c r="B120" s="3" t="s">
        <v>2536</v>
      </c>
      <c r="C120" s="49">
        <v>107030</v>
      </c>
      <c r="D120" s="8">
        <v>4.0543645119761298E-4</v>
      </c>
    </row>
    <row r="121" spans="1:4">
      <c r="A121" s="3" t="s">
        <v>2398</v>
      </c>
      <c r="B121" s="3"/>
      <c r="C121" s="49">
        <v>100000</v>
      </c>
      <c r="D121" s="8">
        <v>3.7880636382099702E-4</v>
      </c>
    </row>
    <row r="122" spans="1:4">
      <c r="B122" s="3" t="s">
        <v>2400</v>
      </c>
      <c r="C122" s="49">
        <v>100000</v>
      </c>
      <c r="D122" s="8">
        <v>3.7880636382099702E-4</v>
      </c>
    </row>
    <row r="123" spans="1:4">
      <c r="A123" s="3" t="s">
        <v>2250</v>
      </c>
      <c r="B123" s="3"/>
      <c r="C123" s="49">
        <v>52400</v>
      </c>
      <c r="D123" s="8">
        <v>1.98494534642202E-4</v>
      </c>
    </row>
    <row r="124" spans="1:4">
      <c r="B124" s="3" t="s">
        <v>2252</v>
      </c>
      <c r="C124" s="49">
        <v>52400</v>
      </c>
      <c r="D124" s="8">
        <v>1.98494534642202E-4</v>
      </c>
    </row>
    <row r="125" spans="1:4">
      <c r="A125" s="3" t="s">
        <v>2468</v>
      </c>
      <c r="B125" s="3"/>
      <c r="C125" s="49">
        <v>39500</v>
      </c>
      <c r="D125" s="8">
        <v>1.49628513709294E-4</v>
      </c>
    </row>
    <row r="126" spans="1:4">
      <c r="B126" s="3" t="s">
        <v>2469</v>
      </c>
      <c r="C126" s="49">
        <v>39500</v>
      </c>
      <c r="D126" s="8">
        <v>1.49628513709294E-4</v>
      </c>
    </row>
    <row r="127" spans="1:4">
      <c r="A127" s="3" t="s">
        <v>2538</v>
      </c>
      <c r="B127" s="3"/>
      <c r="C127" s="49">
        <v>36700</v>
      </c>
      <c r="D127" s="8">
        <v>1.3902193552230599E-4</v>
      </c>
    </row>
    <row r="128" spans="1:4">
      <c r="B128" s="3" t="s">
        <v>2540</v>
      </c>
      <c r="C128" s="49">
        <v>36700</v>
      </c>
      <c r="D128" s="8">
        <v>1.3902193552230599E-4</v>
      </c>
    </row>
    <row r="129" spans="1:4">
      <c r="A129" s="3" t="s">
        <v>2525</v>
      </c>
      <c r="B129" s="3"/>
      <c r="C129" s="49">
        <v>16000</v>
      </c>
      <c r="D129" s="8">
        <v>6.0609018211359499E-5</v>
      </c>
    </row>
    <row r="130" spans="1:4">
      <c r="B130" s="3" t="s">
        <v>2526</v>
      </c>
      <c r="C130" s="49">
        <v>16000</v>
      </c>
      <c r="D130" s="8">
        <v>6.0609018211359499E-5</v>
      </c>
    </row>
    <row r="131" spans="1:4">
      <c r="A131" s="3" t="s">
        <v>2312</v>
      </c>
      <c r="B131" s="3"/>
      <c r="C131" s="49">
        <v>14600</v>
      </c>
      <c r="D131" s="8">
        <v>5.5305729117865598E-5</v>
      </c>
    </row>
    <row r="132" spans="1:4">
      <c r="B132" s="3" t="s">
        <v>2314</v>
      </c>
      <c r="C132" s="49">
        <v>14600</v>
      </c>
      <c r="D132" s="8">
        <v>5.5305729117865598E-5</v>
      </c>
    </row>
    <row r="133" spans="1:4">
      <c r="A133" s="3" t="s">
        <v>2504</v>
      </c>
      <c r="B133" s="3"/>
      <c r="C133" s="49">
        <v>7152</v>
      </c>
      <c r="D133" s="8">
        <v>2.70922311404777E-5</v>
      </c>
    </row>
    <row r="134" spans="1:4">
      <c r="B134" s="3" t="s">
        <v>2505</v>
      </c>
      <c r="C134" s="49">
        <v>7152</v>
      </c>
      <c r="D134" s="8">
        <v>2.70922311404777E-5</v>
      </c>
    </row>
    <row r="135" spans="1:4">
      <c r="A135" s="3" t="s">
        <v>2342</v>
      </c>
      <c r="B135" s="3"/>
      <c r="C135" s="49">
        <v>6200</v>
      </c>
      <c r="D135" s="8">
        <v>2.34859945569018E-5</v>
      </c>
    </row>
    <row r="136" spans="1:4">
      <c r="B136" s="3" t="s">
        <v>2343</v>
      </c>
      <c r="C136" s="49">
        <v>6200</v>
      </c>
      <c r="D136" s="8">
        <v>2.34859945569018E-5</v>
      </c>
    </row>
    <row r="137" spans="1:4">
      <c r="A137" s="3" t="s">
        <v>2565</v>
      </c>
      <c r="B137" s="3"/>
      <c r="C137" s="49">
        <v>263987117.30000001</v>
      </c>
      <c r="D137" s="8">
        <v>1</v>
      </c>
    </row>
    <row r="138" spans="1:4">
      <c r="D138"/>
    </row>
    <row r="139" spans="1:4">
      <c r="D139"/>
    </row>
    <row r="140" spans="1:4">
      <c r="D140"/>
    </row>
    <row r="141" spans="1:4">
      <c r="D141"/>
    </row>
    <row r="142" spans="1:4">
      <c r="D142"/>
    </row>
    <row r="143" spans="1:4">
      <c r="D143"/>
    </row>
    <row r="144" spans="1:4">
      <c r="D144"/>
    </row>
    <row r="145" spans="4:4">
      <c r="D145"/>
    </row>
    <row r="146" spans="4:4">
      <c r="D146"/>
    </row>
    <row r="147" spans="4:4">
      <c r="D147"/>
    </row>
  </sheetData>
  <autoFilter ref="A4:D147" xr:uid="{00000000-0009-0000-0000-000003000000}"/>
  <pageMargins left="0.75" right="0.75" top="1" bottom="1" header="0.5" footer="0.5"/>
  <pageSetup paperSize="9" scale="3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393"/>
  <sheetViews>
    <sheetView workbookViewId="0">
      <pane ySplit="4" topLeftCell="A5" activePane="bottomLeft" state="frozen"/>
      <selection pane="bottomLeft" activeCell="B5" sqref="B5:B391"/>
    </sheetView>
  </sheetViews>
  <sheetFormatPr defaultColWidth="9" defaultRowHeight="15"/>
  <cols>
    <col min="1" max="1" width="37.7109375" customWidth="1"/>
    <col min="2" max="2" width="26.85546875" style="3" customWidth="1"/>
    <col min="3" max="3" width="19.85546875" style="3" customWidth="1"/>
    <col min="4" max="4" width="16.28515625" customWidth="1"/>
  </cols>
  <sheetData>
    <row r="1" spans="1:3">
      <c r="A1" s="50" t="s">
        <v>42</v>
      </c>
      <c r="B1" t="s">
        <v>2580</v>
      </c>
    </row>
    <row r="2" spans="1:3">
      <c r="A2" s="50" t="s">
        <v>43</v>
      </c>
      <c r="B2" t="s">
        <v>53</v>
      </c>
    </row>
    <row r="4" spans="1:3">
      <c r="A4" s="50" t="s">
        <v>2566</v>
      </c>
      <c r="B4" s="3" t="s">
        <v>2567</v>
      </c>
      <c r="C4" s="3" t="s">
        <v>2564</v>
      </c>
    </row>
    <row r="5" spans="1:3">
      <c r="A5" s="4" t="s">
        <v>650</v>
      </c>
      <c r="B5" s="52">
        <v>103702001</v>
      </c>
      <c r="C5" s="5">
        <v>0.42950516876646594</v>
      </c>
    </row>
    <row r="6" spans="1:3">
      <c r="A6" s="51" t="s">
        <v>652</v>
      </c>
      <c r="B6" s="52">
        <v>103702001</v>
      </c>
      <c r="C6" s="5">
        <v>0.42950516876646594</v>
      </c>
    </row>
    <row r="7" spans="1:3">
      <c r="A7" s="4" t="s">
        <v>609</v>
      </c>
      <c r="B7" s="52">
        <v>16370642.5</v>
      </c>
      <c r="C7" s="5">
        <v>6.7802699099103983E-2</v>
      </c>
    </row>
    <row r="8" spans="1:3">
      <c r="A8" s="51" t="s">
        <v>611</v>
      </c>
      <c r="B8" s="52">
        <v>16370642.5</v>
      </c>
      <c r="C8" s="5">
        <v>6.7802699099103983E-2</v>
      </c>
    </row>
    <row r="9" spans="1:3">
      <c r="A9" s="4" t="s">
        <v>888</v>
      </c>
      <c r="B9" s="52">
        <v>10423282</v>
      </c>
      <c r="C9" s="5">
        <v>4.3170367508245731E-2</v>
      </c>
    </row>
    <row r="10" spans="1:3">
      <c r="A10" s="51" t="s">
        <v>889</v>
      </c>
      <c r="B10" s="52">
        <v>10423282</v>
      </c>
      <c r="C10" s="5">
        <v>4.3170367508245731E-2</v>
      </c>
    </row>
    <row r="11" spans="1:3">
      <c r="A11" s="4" t="s">
        <v>326</v>
      </c>
      <c r="B11" s="52">
        <v>9142005</v>
      </c>
      <c r="C11" s="5">
        <v>3.7863670541794806E-2</v>
      </c>
    </row>
    <row r="12" spans="1:3">
      <c r="A12" s="51" t="s">
        <v>328</v>
      </c>
      <c r="B12" s="52">
        <v>9142005</v>
      </c>
      <c r="C12" s="5">
        <v>3.7863670541794806E-2</v>
      </c>
    </row>
    <row r="13" spans="1:3">
      <c r="A13" s="4" t="s">
        <v>2036</v>
      </c>
      <c r="B13" s="52">
        <v>5789533.3100000005</v>
      </c>
      <c r="C13" s="5">
        <v>2.3978654774372447E-2</v>
      </c>
    </row>
    <row r="14" spans="1:3">
      <c r="A14" s="51" t="s">
        <v>2037</v>
      </c>
      <c r="B14" s="52">
        <v>5789533.3100000005</v>
      </c>
      <c r="C14" s="5">
        <v>2.3978654774372447E-2</v>
      </c>
    </row>
    <row r="15" spans="1:3">
      <c r="A15" s="4" t="s">
        <v>299</v>
      </c>
      <c r="B15" s="52">
        <v>5023616</v>
      </c>
      <c r="C15" s="5">
        <v>2.0806435913400732E-2</v>
      </c>
    </row>
    <row r="16" spans="1:3">
      <c r="A16" s="51" t="s">
        <v>301</v>
      </c>
      <c r="B16" s="52">
        <v>5023616</v>
      </c>
      <c r="C16" s="5">
        <v>2.0806435913400732E-2</v>
      </c>
    </row>
    <row r="17" spans="1:3">
      <c r="A17" s="4" t="s">
        <v>991</v>
      </c>
      <c r="B17" s="52">
        <v>4454989</v>
      </c>
      <c r="C17" s="5">
        <v>1.8451339259092495E-2</v>
      </c>
    </row>
    <row r="18" spans="1:3">
      <c r="A18" s="51" t="s">
        <v>992</v>
      </c>
      <c r="B18" s="52">
        <v>4454989</v>
      </c>
      <c r="C18" s="5">
        <v>1.8451339259092495E-2</v>
      </c>
    </row>
    <row r="19" spans="1:3">
      <c r="A19" s="4" t="s">
        <v>56</v>
      </c>
      <c r="B19" s="52">
        <v>4384911</v>
      </c>
      <c r="C19" s="5">
        <v>1.8161095455438057E-2</v>
      </c>
    </row>
    <row r="20" spans="1:3">
      <c r="A20" s="51" t="s">
        <v>58</v>
      </c>
      <c r="B20" s="52">
        <v>4384911</v>
      </c>
      <c r="C20" s="5">
        <v>1.8161095455438057E-2</v>
      </c>
    </row>
    <row r="21" spans="1:3">
      <c r="A21" s="4" t="s">
        <v>740</v>
      </c>
      <c r="B21" s="52">
        <v>3897338.01</v>
      </c>
      <c r="C21" s="5">
        <v>1.6141702219661241E-2</v>
      </c>
    </row>
    <row r="22" spans="1:3">
      <c r="A22" s="51" t="s">
        <v>741</v>
      </c>
      <c r="B22" s="52">
        <v>3897338.01</v>
      </c>
      <c r="C22" s="5">
        <v>1.6141702219661241E-2</v>
      </c>
    </row>
    <row r="23" spans="1:3">
      <c r="A23" s="4" t="s">
        <v>795</v>
      </c>
      <c r="B23" s="52">
        <v>3759009</v>
      </c>
      <c r="C23" s="5">
        <v>1.5568781502486768E-2</v>
      </c>
    </row>
    <row r="24" spans="1:3">
      <c r="A24" s="51" t="s">
        <v>796</v>
      </c>
      <c r="B24" s="52">
        <v>3759009</v>
      </c>
      <c r="C24" s="5">
        <v>1.5568781502486768E-2</v>
      </c>
    </row>
    <row r="25" spans="1:3">
      <c r="A25" s="4" t="s">
        <v>1185</v>
      </c>
      <c r="B25" s="52">
        <v>3688469.790000001</v>
      </c>
      <c r="C25" s="5">
        <v>1.5276627493850978E-2</v>
      </c>
    </row>
    <row r="26" spans="1:3">
      <c r="A26" s="51" t="s">
        <v>1186</v>
      </c>
      <c r="B26" s="52">
        <v>3688469.790000001</v>
      </c>
      <c r="C26" s="5">
        <v>1.5276627493850978E-2</v>
      </c>
    </row>
    <row r="27" spans="1:3">
      <c r="A27" s="4" t="s">
        <v>899</v>
      </c>
      <c r="B27" s="52">
        <v>3582200</v>
      </c>
      <c r="C27" s="5">
        <v>1.4836487249221297E-2</v>
      </c>
    </row>
    <row r="28" spans="1:3">
      <c r="A28" s="51" t="s">
        <v>900</v>
      </c>
      <c r="B28" s="52">
        <v>3582200</v>
      </c>
      <c r="C28" s="5">
        <v>1.4836487249221297E-2</v>
      </c>
    </row>
    <row r="29" spans="1:3">
      <c r="A29" s="4" t="s">
        <v>733</v>
      </c>
      <c r="B29" s="52">
        <v>3471187</v>
      </c>
      <c r="C29" s="5">
        <v>1.4376701933214988E-2</v>
      </c>
    </row>
    <row r="30" spans="1:3">
      <c r="A30" s="51" t="s">
        <v>734</v>
      </c>
      <c r="B30" s="52">
        <v>3471187</v>
      </c>
      <c r="C30" s="5">
        <v>1.4376701933214988E-2</v>
      </c>
    </row>
    <row r="31" spans="1:3">
      <c r="A31" s="4" t="s">
        <v>409</v>
      </c>
      <c r="B31" s="52">
        <v>3426627</v>
      </c>
      <c r="C31" s="5">
        <v>1.4192146667784442E-2</v>
      </c>
    </row>
    <row r="32" spans="1:3">
      <c r="A32" s="51" t="s">
        <v>411</v>
      </c>
      <c r="B32" s="52">
        <v>3426627</v>
      </c>
      <c r="C32" s="5">
        <v>1.4192146667784442E-2</v>
      </c>
    </row>
    <row r="33" spans="1:3">
      <c r="A33" s="4" t="s">
        <v>158</v>
      </c>
      <c r="B33" s="52">
        <v>3310302</v>
      </c>
      <c r="C33" s="5">
        <v>1.3710360508646017E-2</v>
      </c>
    </row>
    <row r="34" spans="1:3">
      <c r="A34" s="51" t="s">
        <v>160</v>
      </c>
      <c r="B34" s="52">
        <v>3310302</v>
      </c>
      <c r="C34" s="5">
        <v>1.3710360508646017E-2</v>
      </c>
    </row>
    <row r="35" spans="1:3">
      <c r="A35" s="4" t="s">
        <v>1310</v>
      </c>
      <c r="B35" s="52">
        <v>2995200</v>
      </c>
      <c r="C35" s="5">
        <v>1.2405294681722861E-2</v>
      </c>
    </row>
    <row r="36" spans="1:3">
      <c r="A36" s="51" t="s">
        <v>1312</v>
      </c>
      <c r="B36" s="52">
        <v>2995200</v>
      </c>
      <c r="C36" s="5">
        <v>1.2405294681722861E-2</v>
      </c>
    </row>
    <row r="37" spans="1:3">
      <c r="A37" s="4" t="s">
        <v>1515</v>
      </c>
      <c r="B37" s="52">
        <v>2626350</v>
      </c>
      <c r="C37" s="5">
        <v>1.0877619420186576E-2</v>
      </c>
    </row>
    <row r="38" spans="1:3">
      <c r="A38" s="51" t="s">
        <v>1516</v>
      </c>
      <c r="B38" s="52">
        <v>2626350</v>
      </c>
      <c r="C38" s="5">
        <v>1.0877619420186576E-2</v>
      </c>
    </row>
    <row r="39" spans="1:3">
      <c r="A39" s="4" t="s">
        <v>356</v>
      </c>
      <c r="B39" s="52">
        <v>2498997</v>
      </c>
      <c r="C39" s="5">
        <v>1.0350158317889083E-2</v>
      </c>
    </row>
    <row r="40" spans="1:3">
      <c r="A40" s="51" t="s">
        <v>358</v>
      </c>
      <c r="B40" s="52">
        <v>2498997</v>
      </c>
      <c r="C40" s="5">
        <v>1.0350158317889083E-2</v>
      </c>
    </row>
    <row r="41" spans="1:3">
      <c r="A41" s="4" t="s">
        <v>1368</v>
      </c>
      <c r="B41" s="52">
        <v>2153866</v>
      </c>
      <c r="C41" s="5">
        <v>8.9207206313246835E-3</v>
      </c>
    </row>
    <row r="42" spans="1:3">
      <c r="A42" s="51" t="s">
        <v>1369</v>
      </c>
      <c r="B42" s="52">
        <v>2153866</v>
      </c>
      <c r="C42" s="5">
        <v>8.9207206313246835E-3</v>
      </c>
    </row>
    <row r="43" spans="1:3">
      <c r="A43" s="4" t="s">
        <v>1796</v>
      </c>
      <c r="B43" s="52">
        <v>2093652</v>
      </c>
      <c r="C43" s="5">
        <v>8.6713308029441882E-3</v>
      </c>
    </row>
    <row r="44" spans="1:3">
      <c r="A44" s="51" t="s">
        <v>1797</v>
      </c>
      <c r="B44" s="52">
        <v>2093652</v>
      </c>
      <c r="C44" s="5">
        <v>8.6713308029441882E-3</v>
      </c>
    </row>
    <row r="45" spans="1:3">
      <c r="A45" s="4" t="s">
        <v>1200</v>
      </c>
      <c r="B45" s="52">
        <v>2085951</v>
      </c>
      <c r="C45" s="5">
        <v>8.6394353788176032E-3</v>
      </c>
    </row>
    <row r="46" spans="1:3">
      <c r="A46" s="51" t="s">
        <v>1201</v>
      </c>
      <c r="B46" s="52">
        <v>2085951</v>
      </c>
      <c r="C46" s="5">
        <v>8.6394353788176032E-3</v>
      </c>
    </row>
    <row r="47" spans="1:3">
      <c r="A47" s="4" t="s">
        <v>684</v>
      </c>
      <c r="B47" s="52">
        <v>2049928</v>
      </c>
      <c r="C47" s="5">
        <v>8.4902380196029588E-3</v>
      </c>
    </row>
    <row r="48" spans="1:3">
      <c r="A48" s="51" t="s">
        <v>685</v>
      </c>
      <c r="B48" s="52">
        <v>2049928</v>
      </c>
      <c r="C48" s="5">
        <v>8.4902380196029588E-3</v>
      </c>
    </row>
    <row r="49" spans="1:3">
      <c r="A49" s="4" t="s">
        <v>1726</v>
      </c>
      <c r="B49" s="52">
        <v>1940000</v>
      </c>
      <c r="C49" s="5">
        <v>8.0349464752077823E-3</v>
      </c>
    </row>
    <row r="50" spans="1:3">
      <c r="A50" s="51" t="s">
        <v>1728</v>
      </c>
      <c r="B50" s="52">
        <v>1940000</v>
      </c>
      <c r="C50" s="5">
        <v>8.0349464752077823E-3</v>
      </c>
    </row>
    <row r="51" spans="1:3">
      <c r="A51" s="4" t="s">
        <v>1908</v>
      </c>
      <c r="B51" s="52">
        <v>1875574</v>
      </c>
      <c r="C51" s="5">
        <v>7.7681117011811143E-3</v>
      </c>
    </row>
    <row r="52" spans="1:3">
      <c r="A52" s="51" t="s">
        <v>1909</v>
      </c>
      <c r="B52" s="52">
        <v>1875574</v>
      </c>
      <c r="C52" s="5">
        <v>7.7681117011811143E-3</v>
      </c>
    </row>
    <row r="53" spans="1:3">
      <c r="A53" s="4" t="s">
        <v>2078</v>
      </c>
      <c r="B53" s="52">
        <v>1864020</v>
      </c>
      <c r="C53" s="5">
        <v>7.7202582106787685E-3</v>
      </c>
    </row>
    <row r="54" spans="1:3">
      <c r="A54" s="51" t="s">
        <v>2079</v>
      </c>
      <c r="B54" s="52">
        <v>1864020</v>
      </c>
      <c r="C54" s="5">
        <v>7.7202582106787685E-3</v>
      </c>
    </row>
    <row r="55" spans="1:3">
      <c r="A55" s="4" t="s">
        <v>1954</v>
      </c>
      <c r="B55" s="52">
        <v>1849950</v>
      </c>
      <c r="C55" s="5">
        <v>7.6619841401085759E-3</v>
      </c>
    </row>
    <row r="56" spans="1:3">
      <c r="A56" s="51" t="s">
        <v>1955</v>
      </c>
      <c r="B56" s="52">
        <v>1849950</v>
      </c>
      <c r="C56" s="5">
        <v>7.6619841401085759E-3</v>
      </c>
    </row>
    <row r="57" spans="1:3">
      <c r="A57" s="4" t="s">
        <v>1894</v>
      </c>
      <c r="B57" s="52">
        <v>1718179</v>
      </c>
      <c r="C57" s="5">
        <v>7.1162248968175421E-3</v>
      </c>
    </row>
    <row r="58" spans="1:3">
      <c r="A58" s="51" t="s">
        <v>1895</v>
      </c>
      <c r="B58" s="52">
        <v>1718179</v>
      </c>
      <c r="C58" s="5">
        <v>7.1162248968175421E-3</v>
      </c>
    </row>
    <row r="59" spans="1:3">
      <c r="A59" s="4" t="s">
        <v>1763</v>
      </c>
      <c r="B59" s="52">
        <v>1380060</v>
      </c>
      <c r="C59" s="5">
        <v>5.7158289858635324E-3</v>
      </c>
    </row>
    <row r="60" spans="1:3">
      <c r="A60" s="51" t="s">
        <v>1765</v>
      </c>
      <c r="B60" s="52">
        <v>1380060</v>
      </c>
      <c r="C60" s="5">
        <v>5.7158289858635324E-3</v>
      </c>
    </row>
    <row r="61" spans="1:3">
      <c r="A61" s="4" t="s">
        <v>313</v>
      </c>
      <c r="B61" s="52">
        <v>1293000</v>
      </c>
      <c r="C61" s="5">
        <v>5.3552504084761147E-3</v>
      </c>
    </row>
    <row r="62" spans="1:3">
      <c r="A62" s="51" t="s">
        <v>315</v>
      </c>
      <c r="B62" s="52">
        <v>1293000</v>
      </c>
      <c r="C62" s="5">
        <v>5.3552504084761147E-3</v>
      </c>
    </row>
    <row r="63" spans="1:3">
      <c r="A63" s="4" t="s">
        <v>777</v>
      </c>
      <c r="B63" s="52">
        <v>1289080</v>
      </c>
      <c r="C63" s="5">
        <v>5.3390148465262107E-3</v>
      </c>
    </row>
    <row r="64" spans="1:3">
      <c r="A64" s="51" t="s">
        <v>779</v>
      </c>
      <c r="B64" s="52">
        <v>1289080</v>
      </c>
      <c r="C64" s="5">
        <v>5.3390148465262107E-3</v>
      </c>
    </row>
    <row r="65" spans="1:3">
      <c r="A65" s="4" t="s">
        <v>903</v>
      </c>
      <c r="B65" s="52">
        <v>1200000</v>
      </c>
      <c r="C65" s="5">
        <v>4.9700699846646074E-3</v>
      </c>
    </row>
    <row r="66" spans="1:3">
      <c r="A66" s="51" t="s">
        <v>905</v>
      </c>
      <c r="B66" s="52">
        <v>1200000</v>
      </c>
      <c r="C66" s="5">
        <v>4.9700699846646074E-3</v>
      </c>
    </row>
    <row r="67" spans="1:3">
      <c r="A67" s="4" t="s">
        <v>529</v>
      </c>
      <c r="B67" s="52">
        <v>1147376</v>
      </c>
      <c r="C67" s="5">
        <v>4.7521158489371154E-3</v>
      </c>
    </row>
    <row r="68" spans="1:3">
      <c r="A68" s="51" t="s">
        <v>530</v>
      </c>
      <c r="B68" s="52">
        <v>1147376</v>
      </c>
      <c r="C68" s="5">
        <v>4.7521158489371154E-3</v>
      </c>
    </row>
    <row r="69" spans="1:3">
      <c r="A69" s="4" t="s">
        <v>283</v>
      </c>
      <c r="B69" s="52">
        <v>1130670</v>
      </c>
      <c r="C69" s="5">
        <v>4.6829241913006097E-3</v>
      </c>
    </row>
    <row r="70" spans="1:3">
      <c r="A70" s="51" t="s">
        <v>284</v>
      </c>
      <c r="B70" s="52">
        <v>1130670</v>
      </c>
      <c r="C70" s="5">
        <v>4.6829241913006097E-3</v>
      </c>
    </row>
    <row r="71" spans="1:3">
      <c r="A71" s="4" t="s">
        <v>262</v>
      </c>
      <c r="B71" s="52">
        <v>953226.5</v>
      </c>
      <c r="C71" s="5">
        <v>3.9480020135307476E-3</v>
      </c>
    </row>
    <row r="72" spans="1:3">
      <c r="A72" s="51" t="s">
        <v>264</v>
      </c>
      <c r="B72" s="52">
        <v>953226.5</v>
      </c>
      <c r="C72" s="5">
        <v>3.9480020135307476E-3</v>
      </c>
    </row>
    <row r="73" spans="1:3">
      <c r="A73" s="4" t="s">
        <v>167</v>
      </c>
      <c r="B73" s="52">
        <v>863061</v>
      </c>
      <c r="C73" s="5">
        <v>3.5745613091955173E-3</v>
      </c>
    </row>
    <row r="74" spans="1:3">
      <c r="A74" s="51" t="s">
        <v>168</v>
      </c>
      <c r="B74" s="52">
        <v>863061</v>
      </c>
      <c r="C74" s="5">
        <v>3.5745613091955173E-3</v>
      </c>
    </row>
    <row r="75" spans="1:3">
      <c r="A75" s="4" t="s">
        <v>221</v>
      </c>
      <c r="B75" s="52">
        <v>809166</v>
      </c>
      <c r="C75" s="5">
        <v>3.3513430410092681E-3</v>
      </c>
    </row>
    <row r="76" spans="1:3">
      <c r="A76" s="51" t="s">
        <v>223</v>
      </c>
      <c r="B76" s="52">
        <v>809166</v>
      </c>
      <c r="C76" s="5">
        <v>3.3513430410092681E-3</v>
      </c>
    </row>
    <row r="77" spans="1:3">
      <c r="A77" s="4" t="s">
        <v>1285</v>
      </c>
      <c r="B77" s="52">
        <v>754132</v>
      </c>
      <c r="C77" s="5">
        <v>3.1234073480625748E-3</v>
      </c>
    </row>
    <row r="78" spans="1:3">
      <c r="A78" s="51" t="s">
        <v>1286</v>
      </c>
      <c r="B78" s="52">
        <v>754132</v>
      </c>
      <c r="C78" s="5">
        <v>3.1234073480625748E-3</v>
      </c>
    </row>
    <row r="79" spans="1:3">
      <c r="A79" s="4" t="s">
        <v>1424</v>
      </c>
      <c r="B79" s="52">
        <v>739860</v>
      </c>
      <c r="C79" s="5">
        <v>3.0642966490449638E-3</v>
      </c>
    </row>
    <row r="80" spans="1:3">
      <c r="A80" s="51" t="s">
        <v>1426</v>
      </c>
      <c r="B80" s="52">
        <v>739860</v>
      </c>
      <c r="C80" s="5">
        <v>3.0642966490449638E-3</v>
      </c>
    </row>
    <row r="81" spans="1:3">
      <c r="A81" s="4" t="s">
        <v>878</v>
      </c>
      <c r="B81" s="52">
        <v>737360</v>
      </c>
      <c r="C81" s="5">
        <v>3.0539423365769126E-3</v>
      </c>
    </row>
    <row r="82" spans="1:3">
      <c r="A82" s="51" t="s">
        <v>879</v>
      </c>
      <c r="B82" s="52">
        <v>737360</v>
      </c>
      <c r="C82" s="5">
        <v>3.0539423365769126E-3</v>
      </c>
    </row>
    <row r="83" spans="1:3">
      <c r="A83" s="4" t="s">
        <v>1107</v>
      </c>
      <c r="B83" s="52">
        <v>684800</v>
      </c>
      <c r="C83" s="5">
        <v>2.8362532712486025E-3</v>
      </c>
    </row>
    <row r="84" spans="1:3">
      <c r="A84" s="51" t="s">
        <v>1109</v>
      </c>
      <c r="B84" s="52">
        <v>684800</v>
      </c>
      <c r="C84" s="5">
        <v>2.8362532712486025E-3</v>
      </c>
    </row>
    <row r="85" spans="1:3">
      <c r="A85" s="4" t="s">
        <v>515</v>
      </c>
      <c r="B85" s="52">
        <v>653840</v>
      </c>
      <c r="C85" s="5">
        <v>2.708025465644256E-3</v>
      </c>
    </row>
    <row r="86" spans="1:3">
      <c r="A86" s="51" t="s">
        <v>517</v>
      </c>
      <c r="B86" s="52">
        <v>653840</v>
      </c>
      <c r="C86" s="5">
        <v>2.708025465644256E-3</v>
      </c>
    </row>
    <row r="87" spans="1:3">
      <c r="A87" s="4" t="s">
        <v>1736</v>
      </c>
      <c r="B87" s="52">
        <v>638325</v>
      </c>
      <c r="C87" s="5">
        <v>2.6437666024675295E-3</v>
      </c>
    </row>
    <row r="88" spans="1:3">
      <c r="A88" s="51" t="s">
        <v>1737</v>
      </c>
      <c r="B88" s="52">
        <v>638325</v>
      </c>
      <c r="C88" s="5">
        <v>2.6437666024675295E-3</v>
      </c>
    </row>
    <row r="89" spans="1:3">
      <c r="A89" s="4" t="s">
        <v>1958</v>
      </c>
      <c r="B89" s="52">
        <v>596928</v>
      </c>
      <c r="C89" s="5">
        <v>2.4723116131715626E-3</v>
      </c>
    </row>
    <row r="90" spans="1:3">
      <c r="A90" s="51" t="s">
        <v>1959</v>
      </c>
      <c r="B90" s="52">
        <v>596928</v>
      </c>
      <c r="C90" s="5">
        <v>2.4723116131715626E-3</v>
      </c>
    </row>
    <row r="91" spans="1:3">
      <c r="A91" s="4" t="s">
        <v>1328</v>
      </c>
      <c r="B91" s="52">
        <v>576017</v>
      </c>
      <c r="C91" s="5">
        <v>2.3857040019637944E-3</v>
      </c>
    </row>
    <row r="92" spans="1:3">
      <c r="A92" s="51" t="s">
        <v>1330</v>
      </c>
      <c r="B92" s="52">
        <v>576017</v>
      </c>
      <c r="C92" s="5">
        <v>2.3857040019637944E-3</v>
      </c>
    </row>
    <row r="93" spans="1:3">
      <c r="A93" s="4" t="s">
        <v>791</v>
      </c>
      <c r="B93" s="52">
        <v>552720</v>
      </c>
      <c r="C93" s="5">
        <v>2.2892142349365181E-3</v>
      </c>
    </row>
    <row r="94" spans="1:3">
      <c r="A94" s="51" t="s">
        <v>793</v>
      </c>
      <c r="B94" s="52">
        <v>552720</v>
      </c>
      <c r="C94" s="5">
        <v>2.2892142349365181E-3</v>
      </c>
    </row>
    <row r="95" spans="1:3">
      <c r="A95" s="4" t="s">
        <v>757</v>
      </c>
      <c r="B95" s="52">
        <v>539280</v>
      </c>
      <c r="C95" s="5">
        <v>2.2335494511082745E-3</v>
      </c>
    </row>
    <row r="96" spans="1:3">
      <c r="A96" s="51" t="s">
        <v>759</v>
      </c>
      <c r="B96" s="52">
        <v>539280</v>
      </c>
      <c r="C96" s="5">
        <v>2.2335494511082745E-3</v>
      </c>
    </row>
    <row r="97" spans="1:3">
      <c r="A97" s="4" t="s">
        <v>895</v>
      </c>
      <c r="B97" s="52">
        <v>473200</v>
      </c>
      <c r="C97" s="5">
        <v>1.9598642639527437E-3</v>
      </c>
    </row>
    <row r="98" spans="1:3">
      <c r="A98" s="51" t="s">
        <v>897</v>
      </c>
      <c r="B98" s="52">
        <v>473200</v>
      </c>
      <c r="C98" s="5">
        <v>1.9598642639527437E-3</v>
      </c>
    </row>
    <row r="99" spans="1:3">
      <c r="A99" s="4" t="s">
        <v>441</v>
      </c>
      <c r="B99" s="52">
        <v>458850</v>
      </c>
      <c r="C99" s="5">
        <v>1.9004305103861292E-3</v>
      </c>
    </row>
    <row r="100" spans="1:3">
      <c r="A100" s="51" t="s">
        <v>443</v>
      </c>
      <c r="B100" s="52">
        <v>458850</v>
      </c>
      <c r="C100" s="5">
        <v>1.9004305103861292E-3</v>
      </c>
    </row>
    <row r="101" spans="1:3">
      <c r="A101" s="4" t="s">
        <v>102</v>
      </c>
      <c r="B101" s="52">
        <v>444986</v>
      </c>
      <c r="C101" s="5">
        <v>1.8430096351633042E-3</v>
      </c>
    </row>
    <row r="102" spans="1:3">
      <c r="A102" s="51" t="s">
        <v>104</v>
      </c>
      <c r="B102" s="52">
        <v>444986</v>
      </c>
      <c r="C102" s="5">
        <v>1.8430096351633042E-3</v>
      </c>
    </row>
    <row r="103" spans="1:3">
      <c r="A103" s="4" t="s">
        <v>2184</v>
      </c>
      <c r="B103" s="52">
        <v>418000</v>
      </c>
      <c r="C103" s="5">
        <v>1.7312410446581716E-3</v>
      </c>
    </row>
    <row r="104" spans="1:3">
      <c r="A104" s="51" t="s">
        <v>2186</v>
      </c>
      <c r="B104" s="52">
        <v>418000</v>
      </c>
      <c r="C104" s="5">
        <v>1.7312410446581716E-3</v>
      </c>
    </row>
    <row r="105" spans="1:3">
      <c r="A105" s="4" t="s">
        <v>549</v>
      </c>
      <c r="B105" s="52">
        <v>415520</v>
      </c>
      <c r="C105" s="5">
        <v>1.7209695666898649E-3</v>
      </c>
    </row>
    <row r="106" spans="1:3">
      <c r="A106" s="51" t="s">
        <v>551</v>
      </c>
      <c r="B106" s="52">
        <v>415520</v>
      </c>
      <c r="C106" s="5">
        <v>1.7209695666898649E-3</v>
      </c>
    </row>
    <row r="107" spans="1:3">
      <c r="A107" s="4" t="s">
        <v>2161</v>
      </c>
      <c r="B107" s="52">
        <v>404800</v>
      </c>
      <c r="C107" s="5">
        <v>1.676570274826861E-3</v>
      </c>
    </row>
    <row r="108" spans="1:3">
      <c r="A108" s="51" t="s">
        <v>2163</v>
      </c>
      <c r="B108" s="52">
        <v>404800</v>
      </c>
      <c r="C108" s="5">
        <v>1.676570274826861E-3</v>
      </c>
    </row>
    <row r="109" spans="1:3">
      <c r="A109" s="4" t="s">
        <v>870</v>
      </c>
      <c r="B109" s="52">
        <v>402300</v>
      </c>
      <c r="C109" s="5">
        <v>1.6662159623588098E-3</v>
      </c>
    </row>
    <row r="110" spans="1:3">
      <c r="A110" s="51" t="s">
        <v>872</v>
      </c>
      <c r="B110" s="52">
        <v>402300</v>
      </c>
      <c r="C110" s="5">
        <v>1.6662159623588098E-3</v>
      </c>
    </row>
    <row r="111" spans="1:3">
      <c r="A111" s="4" t="s">
        <v>1290</v>
      </c>
      <c r="B111" s="52">
        <v>379352</v>
      </c>
      <c r="C111" s="5">
        <v>1.5711716573520735E-3</v>
      </c>
    </row>
    <row r="112" spans="1:3">
      <c r="A112" s="51" t="s">
        <v>1292</v>
      </c>
      <c r="B112" s="52">
        <v>379352</v>
      </c>
      <c r="C112" s="5">
        <v>1.5711716573520735E-3</v>
      </c>
    </row>
    <row r="113" spans="1:3">
      <c r="A113" s="4" t="s">
        <v>1410</v>
      </c>
      <c r="B113" s="52">
        <v>369750</v>
      </c>
      <c r="C113" s="5">
        <v>1.5314028140247821E-3</v>
      </c>
    </row>
    <row r="114" spans="1:3">
      <c r="A114" s="51" t="s">
        <v>1412</v>
      </c>
      <c r="B114" s="52">
        <v>369750</v>
      </c>
      <c r="C114" s="5">
        <v>1.5314028140247821E-3</v>
      </c>
    </row>
    <row r="115" spans="1:3">
      <c r="A115" s="4" t="s">
        <v>1045</v>
      </c>
      <c r="B115" s="52">
        <v>367520</v>
      </c>
      <c r="C115" s="5">
        <v>1.5221667673032805E-3</v>
      </c>
    </row>
    <row r="116" spans="1:3">
      <c r="A116" s="51" t="s">
        <v>1047</v>
      </c>
      <c r="B116" s="52">
        <v>367520</v>
      </c>
      <c r="C116" s="5">
        <v>1.5221667673032805E-3</v>
      </c>
    </row>
    <row r="117" spans="1:3">
      <c r="A117" s="4" t="s">
        <v>88</v>
      </c>
      <c r="B117" s="52">
        <v>360000</v>
      </c>
      <c r="C117" s="5">
        <v>1.4910209953993823E-3</v>
      </c>
    </row>
    <row r="118" spans="1:3">
      <c r="A118" s="51" t="s">
        <v>90</v>
      </c>
      <c r="B118" s="52">
        <v>360000</v>
      </c>
      <c r="C118" s="5">
        <v>1.4910209953993823E-3</v>
      </c>
    </row>
    <row r="119" spans="1:3">
      <c r="A119" s="4" t="s">
        <v>194</v>
      </c>
      <c r="B119" s="52">
        <v>350162</v>
      </c>
      <c r="C119" s="5">
        <v>1.450274704975107E-3</v>
      </c>
    </row>
    <row r="120" spans="1:3">
      <c r="A120" s="51" t="s">
        <v>196</v>
      </c>
      <c r="B120" s="52">
        <v>350162</v>
      </c>
      <c r="C120" s="5">
        <v>1.450274704975107E-3</v>
      </c>
    </row>
    <row r="121" spans="1:3">
      <c r="A121" s="4" t="s">
        <v>113</v>
      </c>
      <c r="B121" s="52">
        <v>327240</v>
      </c>
      <c r="C121" s="5">
        <v>1.3553380848180384E-3</v>
      </c>
    </row>
    <row r="122" spans="1:3">
      <c r="A122" s="51" t="s">
        <v>115</v>
      </c>
      <c r="B122" s="52">
        <v>327240</v>
      </c>
      <c r="C122" s="5">
        <v>1.3553380848180384E-3</v>
      </c>
    </row>
    <row r="123" spans="1:3">
      <c r="A123" s="4" t="s">
        <v>832</v>
      </c>
      <c r="B123" s="52">
        <v>326000</v>
      </c>
      <c r="C123" s="5">
        <v>1.350202345833885E-3</v>
      </c>
    </row>
    <row r="124" spans="1:3">
      <c r="A124" s="51" t="s">
        <v>834</v>
      </c>
      <c r="B124" s="52">
        <v>326000</v>
      </c>
      <c r="C124" s="5">
        <v>1.350202345833885E-3</v>
      </c>
    </row>
    <row r="125" spans="1:3">
      <c r="A125" s="4" t="s">
        <v>162</v>
      </c>
      <c r="B125" s="52">
        <v>304550</v>
      </c>
      <c r="C125" s="5">
        <v>1.2613623448580052E-3</v>
      </c>
    </row>
    <row r="126" spans="1:3">
      <c r="A126" s="51" t="s">
        <v>164</v>
      </c>
      <c r="B126" s="52">
        <v>304550</v>
      </c>
      <c r="C126" s="5">
        <v>1.2613623448580052E-3</v>
      </c>
    </row>
    <row r="127" spans="1:3">
      <c r="A127" s="4" t="s">
        <v>539</v>
      </c>
      <c r="B127" s="52">
        <v>301404</v>
      </c>
      <c r="C127" s="5">
        <v>1.2483324780482095E-3</v>
      </c>
    </row>
    <row r="128" spans="1:3">
      <c r="A128" s="51" t="s">
        <v>541</v>
      </c>
      <c r="B128" s="52">
        <v>301404</v>
      </c>
      <c r="C128" s="5">
        <v>1.2483324780482095E-3</v>
      </c>
    </row>
    <row r="129" spans="1:3">
      <c r="A129" s="4" t="s">
        <v>436</v>
      </c>
      <c r="B129" s="52">
        <v>292102</v>
      </c>
      <c r="C129" s="5">
        <v>1.2098061522170843E-3</v>
      </c>
    </row>
    <row r="130" spans="1:3">
      <c r="A130" s="51" t="s">
        <v>438</v>
      </c>
      <c r="B130" s="52">
        <v>292102</v>
      </c>
      <c r="C130" s="5">
        <v>1.2098061522170843E-3</v>
      </c>
    </row>
    <row r="131" spans="1:3">
      <c r="A131" s="4" t="s">
        <v>2132</v>
      </c>
      <c r="B131" s="52">
        <v>270912</v>
      </c>
      <c r="C131" s="5">
        <v>1.1220429997378819E-3</v>
      </c>
    </row>
    <row r="132" spans="1:3">
      <c r="A132" s="51" t="s">
        <v>2134</v>
      </c>
      <c r="B132" s="52">
        <v>270912</v>
      </c>
      <c r="C132" s="5">
        <v>1.1220429997378819E-3</v>
      </c>
    </row>
    <row r="133" spans="1:3">
      <c r="A133" s="4" t="s">
        <v>479</v>
      </c>
      <c r="B133" s="52">
        <v>265000</v>
      </c>
      <c r="C133" s="5">
        <v>1.0975571216134343E-3</v>
      </c>
    </row>
    <row r="134" spans="1:3">
      <c r="A134" s="51" t="s">
        <v>480</v>
      </c>
      <c r="B134" s="52">
        <v>265000</v>
      </c>
      <c r="C134" s="5">
        <v>1.0975571216134343E-3</v>
      </c>
    </row>
    <row r="135" spans="1:3">
      <c r="A135" s="4" t="s">
        <v>308</v>
      </c>
      <c r="B135" s="52">
        <v>254500</v>
      </c>
      <c r="C135" s="5">
        <v>1.0540690092476189E-3</v>
      </c>
    </row>
    <row r="136" spans="1:3">
      <c r="A136" s="51" t="s">
        <v>310</v>
      </c>
      <c r="B136" s="52">
        <v>254500</v>
      </c>
      <c r="C136" s="5">
        <v>1.0540690092476189E-3</v>
      </c>
    </row>
    <row r="137" spans="1:3">
      <c r="A137" s="4" t="s">
        <v>138</v>
      </c>
      <c r="B137" s="52">
        <v>246500</v>
      </c>
      <c r="C137" s="5">
        <v>1.0209352093498549E-3</v>
      </c>
    </row>
    <row r="138" spans="1:3">
      <c r="A138" s="51" t="s">
        <v>140</v>
      </c>
      <c r="B138" s="52">
        <v>246500</v>
      </c>
      <c r="C138" s="5">
        <v>1.0209352093498549E-3</v>
      </c>
    </row>
    <row r="139" spans="1:3">
      <c r="A139" s="4" t="s">
        <v>1890</v>
      </c>
      <c r="B139" s="52">
        <v>242424</v>
      </c>
      <c r="C139" s="5">
        <v>1.004053538301944E-3</v>
      </c>
    </row>
    <row r="140" spans="1:3">
      <c r="A140" s="51" t="s">
        <v>1891</v>
      </c>
      <c r="B140" s="52">
        <v>242424</v>
      </c>
      <c r="C140" s="5">
        <v>1.004053538301944E-3</v>
      </c>
    </row>
    <row r="141" spans="1:3">
      <c r="A141" s="4" t="s">
        <v>348</v>
      </c>
      <c r="B141" s="52">
        <v>232451</v>
      </c>
      <c r="C141" s="5">
        <v>9.6274811500439395E-4</v>
      </c>
    </row>
    <row r="142" spans="1:3">
      <c r="A142" s="51" t="s">
        <v>350</v>
      </c>
      <c r="B142" s="52">
        <v>232451</v>
      </c>
      <c r="C142" s="5">
        <v>9.6274811500439395E-4</v>
      </c>
    </row>
    <row r="143" spans="1:3">
      <c r="A143" s="4" t="s">
        <v>179</v>
      </c>
      <c r="B143" s="52">
        <v>232000</v>
      </c>
      <c r="C143" s="5">
        <v>9.6088019703515751E-4</v>
      </c>
    </row>
    <row r="144" spans="1:3">
      <c r="A144" s="51" t="s">
        <v>181</v>
      </c>
      <c r="B144" s="52">
        <v>232000</v>
      </c>
      <c r="C144" s="5">
        <v>9.6088019703515751E-4</v>
      </c>
    </row>
    <row r="145" spans="1:3">
      <c r="A145" s="4" t="s">
        <v>124</v>
      </c>
      <c r="B145" s="52">
        <v>224021</v>
      </c>
      <c r="C145" s="5">
        <v>9.2783337336212505E-4</v>
      </c>
    </row>
    <row r="146" spans="1:3">
      <c r="A146" s="51" t="s">
        <v>126</v>
      </c>
      <c r="B146" s="52">
        <v>224021</v>
      </c>
      <c r="C146" s="5">
        <v>9.2783337336212505E-4</v>
      </c>
    </row>
    <row r="147" spans="1:3">
      <c r="A147" s="4" t="s">
        <v>170</v>
      </c>
      <c r="B147" s="52">
        <v>215000</v>
      </c>
      <c r="C147" s="5">
        <v>8.9047087225240884E-4</v>
      </c>
    </row>
    <row r="148" spans="1:3">
      <c r="A148" s="51" t="s">
        <v>172</v>
      </c>
      <c r="B148" s="52">
        <v>215000</v>
      </c>
      <c r="C148" s="5">
        <v>8.9047087225240884E-4</v>
      </c>
    </row>
    <row r="149" spans="1:3">
      <c r="A149" s="4" t="s">
        <v>1447</v>
      </c>
      <c r="B149" s="52">
        <v>209400</v>
      </c>
      <c r="C149" s="5">
        <v>8.6727721232397401E-4</v>
      </c>
    </row>
    <row r="150" spans="1:3">
      <c r="A150" s="51" t="s">
        <v>1448</v>
      </c>
      <c r="B150" s="52">
        <v>209400</v>
      </c>
      <c r="C150" s="5">
        <v>8.6727721232397401E-4</v>
      </c>
    </row>
    <row r="151" spans="1:3">
      <c r="A151" s="4" t="s">
        <v>129</v>
      </c>
      <c r="B151" s="52">
        <v>208950</v>
      </c>
      <c r="C151" s="5">
        <v>8.6541343607972484E-4</v>
      </c>
    </row>
    <row r="152" spans="1:3">
      <c r="A152" s="51" t="s">
        <v>131</v>
      </c>
      <c r="B152" s="52">
        <v>208950</v>
      </c>
      <c r="C152" s="5">
        <v>8.6541343607972484E-4</v>
      </c>
    </row>
    <row r="153" spans="1:3">
      <c r="A153" s="4" t="s">
        <v>705</v>
      </c>
      <c r="B153" s="52">
        <v>208180</v>
      </c>
      <c r="C153" s="5">
        <v>8.6222430783956501E-4</v>
      </c>
    </row>
    <row r="154" spans="1:3">
      <c r="A154" s="51" t="s">
        <v>706</v>
      </c>
      <c r="B154" s="52">
        <v>208180</v>
      </c>
      <c r="C154" s="5">
        <v>8.6222430783956501E-4</v>
      </c>
    </row>
    <row r="155" spans="1:3">
      <c r="A155" s="4" t="s">
        <v>1590</v>
      </c>
      <c r="B155" s="52">
        <v>204078</v>
      </c>
      <c r="C155" s="5">
        <v>8.4523495194198644E-4</v>
      </c>
    </row>
    <row r="156" spans="1:3">
      <c r="A156" s="51" t="s">
        <v>1592</v>
      </c>
      <c r="B156" s="52">
        <v>204078</v>
      </c>
      <c r="C156" s="5">
        <v>8.4523495194198644E-4</v>
      </c>
    </row>
    <row r="157" spans="1:3">
      <c r="A157" s="4" t="s">
        <v>1175</v>
      </c>
      <c r="B157" s="52">
        <v>200159.16</v>
      </c>
      <c r="C157" s="5">
        <v>8.2900419439306734E-4</v>
      </c>
    </row>
    <row r="158" spans="1:3">
      <c r="A158" s="51"/>
      <c r="B158" s="52">
        <v>200159.16</v>
      </c>
      <c r="C158" s="5">
        <v>8.2900419439306734E-4</v>
      </c>
    </row>
    <row r="159" spans="1:3">
      <c r="A159" s="4" t="s">
        <v>1415</v>
      </c>
      <c r="B159" s="52">
        <v>194520</v>
      </c>
      <c r="C159" s="5">
        <v>8.0564834451413289E-4</v>
      </c>
    </row>
    <row r="160" spans="1:3">
      <c r="A160" s="51" t="s">
        <v>1417</v>
      </c>
      <c r="B160" s="52">
        <v>194520</v>
      </c>
      <c r="C160" s="5">
        <v>8.0564834451413289E-4</v>
      </c>
    </row>
    <row r="161" spans="1:3">
      <c r="A161" s="4" t="s">
        <v>238</v>
      </c>
      <c r="B161" s="52">
        <v>190465</v>
      </c>
      <c r="C161" s="5">
        <v>7.8885364969095376E-4</v>
      </c>
    </row>
    <row r="162" spans="1:3">
      <c r="A162" s="51" t="s">
        <v>240</v>
      </c>
      <c r="B162" s="52">
        <v>190465</v>
      </c>
      <c r="C162" s="5">
        <v>7.8885364969095376E-4</v>
      </c>
    </row>
    <row r="163" spans="1:3">
      <c r="A163" s="4" t="s">
        <v>983</v>
      </c>
      <c r="B163" s="52">
        <v>187955.02000000002</v>
      </c>
      <c r="C163" s="5">
        <v>7.7845800280753013E-4</v>
      </c>
    </row>
    <row r="164" spans="1:3">
      <c r="A164" s="51" t="s">
        <v>984</v>
      </c>
      <c r="B164" s="52">
        <v>187955.02000000002</v>
      </c>
      <c r="C164" s="5">
        <v>7.7845800280753013E-4</v>
      </c>
    </row>
    <row r="165" spans="1:3">
      <c r="A165" s="4" t="s">
        <v>840</v>
      </c>
      <c r="B165" s="52">
        <v>179608.3</v>
      </c>
      <c r="C165" s="5">
        <v>7.4388818402219684E-4</v>
      </c>
    </row>
    <row r="166" spans="1:3">
      <c r="A166" s="51" t="s">
        <v>841</v>
      </c>
      <c r="B166" s="52">
        <v>179608.3</v>
      </c>
      <c r="C166" s="5">
        <v>7.4388818402219684E-4</v>
      </c>
    </row>
    <row r="167" spans="1:3">
      <c r="A167" s="4" t="s">
        <v>1713</v>
      </c>
      <c r="B167" s="52">
        <v>165597</v>
      </c>
      <c r="C167" s="5">
        <v>6.8585723270875418E-4</v>
      </c>
    </row>
    <row r="168" spans="1:3">
      <c r="A168" s="51" t="s">
        <v>1714</v>
      </c>
      <c r="B168" s="52">
        <v>165597</v>
      </c>
      <c r="C168" s="5">
        <v>6.8585723270875418E-4</v>
      </c>
    </row>
    <row r="169" spans="1:3">
      <c r="A169" s="4" t="s">
        <v>216</v>
      </c>
      <c r="B169" s="52">
        <v>155700</v>
      </c>
      <c r="C169" s="5">
        <v>6.4486658051023289E-4</v>
      </c>
    </row>
    <row r="170" spans="1:3">
      <c r="A170" s="51" t="s">
        <v>218</v>
      </c>
      <c r="B170" s="52">
        <v>155700</v>
      </c>
      <c r="C170" s="5">
        <v>6.4486658051023289E-4</v>
      </c>
    </row>
    <row r="171" spans="1:3">
      <c r="A171" s="4" t="s">
        <v>1237</v>
      </c>
      <c r="B171" s="52">
        <v>146468.35</v>
      </c>
      <c r="C171" s="5">
        <v>6.0663162503195864E-4</v>
      </c>
    </row>
    <row r="172" spans="1:3">
      <c r="A172" s="51" t="s">
        <v>1239</v>
      </c>
      <c r="B172" s="52">
        <v>146468.35</v>
      </c>
      <c r="C172" s="5">
        <v>6.0663162503195864E-4</v>
      </c>
    </row>
    <row r="173" spans="1:3">
      <c r="A173" s="4" t="s">
        <v>1601</v>
      </c>
      <c r="B173" s="52">
        <v>141300</v>
      </c>
      <c r="C173" s="5">
        <v>5.8522574069425754E-4</v>
      </c>
    </row>
    <row r="174" spans="1:3">
      <c r="A174" s="51" t="s">
        <v>1603</v>
      </c>
      <c r="B174" s="52">
        <v>141300</v>
      </c>
      <c r="C174" s="5">
        <v>5.8522574069425754E-4</v>
      </c>
    </row>
    <row r="175" spans="1:3">
      <c r="A175" s="4" t="s">
        <v>1403</v>
      </c>
      <c r="B175" s="52">
        <v>118806</v>
      </c>
      <c r="C175" s="5">
        <v>4.9206177883171951E-4</v>
      </c>
    </row>
    <row r="176" spans="1:3">
      <c r="A176" s="51" t="s">
        <v>1404</v>
      </c>
      <c r="B176" s="52">
        <v>118806</v>
      </c>
      <c r="C176" s="5">
        <v>4.9206177883171951E-4</v>
      </c>
    </row>
    <row r="177" spans="1:3">
      <c r="A177" s="4" t="s">
        <v>318</v>
      </c>
      <c r="B177" s="52">
        <v>113836</v>
      </c>
      <c r="C177" s="5">
        <v>4.7147740564523353E-4</v>
      </c>
    </row>
    <row r="178" spans="1:3">
      <c r="A178" s="51" t="s">
        <v>320</v>
      </c>
      <c r="B178" s="52">
        <v>113836</v>
      </c>
      <c r="C178" s="5">
        <v>4.7147740564523353E-4</v>
      </c>
    </row>
    <row r="179" spans="1:3">
      <c r="A179" s="4" t="s">
        <v>1863</v>
      </c>
      <c r="B179" s="52">
        <v>113000</v>
      </c>
      <c r="C179" s="5">
        <v>4.6801492355591723E-4</v>
      </c>
    </row>
    <row r="180" spans="1:3">
      <c r="A180" s="51" t="s">
        <v>1864</v>
      </c>
      <c r="B180" s="52">
        <v>113000</v>
      </c>
      <c r="C180" s="5">
        <v>4.6801492355591723E-4</v>
      </c>
    </row>
    <row r="181" spans="1:3">
      <c r="A181" s="4" t="s">
        <v>343</v>
      </c>
      <c r="B181" s="52">
        <v>106920</v>
      </c>
      <c r="C181" s="5">
        <v>4.4283323563361652E-4</v>
      </c>
    </row>
    <row r="182" spans="1:3">
      <c r="A182" s="51" t="s">
        <v>345</v>
      </c>
      <c r="B182" s="52">
        <v>106920</v>
      </c>
      <c r="C182" s="5">
        <v>4.4283323563361652E-4</v>
      </c>
    </row>
    <row r="183" spans="1:3">
      <c r="A183" s="4" t="s">
        <v>1221</v>
      </c>
      <c r="B183" s="52">
        <v>100000</v>
      </c>
      <c r="C183" s="5">
        <v>4.1417249872205061E-4</v>
      </c>
    </row>
    <row r="184" spans="1:3">
      <c r="A184" s="51" t="s">
        <v>1222</v>
      </c>
      <c r="B184" s="52">
        <v>100000</v>
      </c>
      <c r="C184" s="5">
        <v>4.1417249872205061E-4</v>
      </c>
    </row>
    <row r="185" spans="1:3">
      <c r="A185" s="4" t="s">
        <v>931</v>
      </c>
      <c r="B185" s="52">
        <v>96000</v>
      </c>
      <c r="C185" s="5">
        <v>3.9760559877316862E-4</v>
      </c>
    </row>
    <row r="186" spans="1:3">
      <c r="A186" s="51" t="s">
        <v>932</v>
      </c>
      <c r="B186" s="52">
        <v>96000</v>
      </c>
      <c r="C186" s="5">
        <v>3.9760559877316862E-4</v>
      </c>
    </row>
    <row r="187" spans="1:3">
      <c r="A187" s="4" t="s">
        <v>304</v>
      </c>
      <c r="B187" s="52">
        <v>92820</v>
      </c>
      <c r="C187" s="5">
        <v>3.8443491331380741E-4</v>
      </c>
    </row>
    <row r="188" spans="1:3">
      <c r="A188" s="51" t="s">
        <v>305</v>
      </c>
      <c r="B188" s="52">
        <v>92820</v>
      </c>
      <c r="C188" s="5">
        <v>3.8443491331380741E-4</v>
      </c>
    </row>
    <row r="189" spans="1:3">
      <c r="A189" s="4" t="s">
        <v>273</v>
      </c>
      <c r="B189" s="52">
        <v>88245</v>
      </c>
      <c r="C189" s="5">
        <v>3.6548652149727358E-4</v>
      </c>
    </row>
    <row r="190" spans="1:3">
      <c r="A190" s="51" t="s">
        <v>275</v>
      </c>
      <c r="B190" s="52">
        <v>88245</v>
      </c>
      <c r="C190" s="5">
        <v>3.6548652149727358E-4</v>
      </c>
    </row>
    <row r="191" spans="1:3">
      <c r="A191" s="4" t="s">
        <v>1442</v>
      </c>
      <c r="B191" s="52">
        <v>87820</v>
      </c>
      <c r="C191" s="5">
        <v>3.6372628837770489E-4</v>
      </c>
    </row>
    <row r="192" spans="1:3">
      <c r="A192" s="51" t="s">
        <v>1443</v>
      </c>
      <c r="B192" s="52">
        <v>87820</v>
      </c>
      <c r="C192" s="5">
        <v>3.6372628837770489E-4</v>
      </c>
    </row>
    <row r="193" spans="1:3">
      <c r="A193" s="4" t="s">
        <v>760</v>
      </c>
      <c r="B193" s="52">
        <v>85000</v>
      </c>
      <c r="C193" s="5">
        <v>3.5204662391374305E-4</v>
      </c>
    </row>
    <row r="194" spans="1:3">
      <c r="A194" s="51" t="s">
        <v>761</v>
      </c>
      <c r="B194" s="52">
        <v>85000</v>
      </c>
      <c r="C194" s="5">
        <v>3.5204662391374305E-4</v>
      </c>
    </row>
    <row r="195" spans="1:3">
      <c r="A195" s="4" t="s">
        <v>965</v>
      </c>
      <c r="B195" s="52">
        <v>84000</v>
      </c>
      <c r="C195" s="5">
        <v>3.4790489892652253E-4</v>
      </c>
    </row>
    <row r="196" spans="1:3">
      <c r="A196" s="51" t="s">
        <v>966</v>
      </c>
      <c r="B196" s="52">
        <v>84000</v>
      </c>
      <c r="C196" s="5">
        <v>3.4790489892652253E-4</v>
      </c>
    </row>
    <row r="197" spans="1:3">
      <c r="A197" s="4" t="s">
        <v>555</v>
      </c>
      <c r="B197" s="52">
        <v>83000</v>
      </c>
      <c r="C197" s="5">
        <v>3.43763173939302E-4</v>
      </c>
    </row>
    <row r="198" spans="1:3">
      <c r="A198" s="51" t="s">
        <v>556</v>
      </c>
      <c r="B198" s="52">
        <v>83000</v>
      </c>
      <c r="C198" s="5">
        <v>3.43763173939302E-4</v>
      </c>
    </row>
    <row r="199" spans="1:3">
      <c r="A199" s="4" t="s">
        <v>1781</v>
      </c>
      <c r="B199" s="52">
        <v>82380</v>
      </c>
      <c r="C199" s="5">
        <v>3.4119530444722533E-4</v>
      </c>
    </row>
    <row r="200" spans="1:3">
      <c r="A200" s="51" t="s">
        <v>1782</v>
      </c>
      <c r="B200" s="52">
        <v>82380</v>
      </c>
      <c r="C200" s="5">
        <v>3.4119530444722533E-4</v>
      </c>
    </row>
    <row r="201" spans="1:3">
      <c r="A201" s="4" t="s">
        <v>286</v>
      </c>
      <c r="B201" s="52">
        <v>80000</v>
      </c>
      <c r="C201" s="5">
        <v>3.3133799897764048E-4</v>
      </c>
    </row>
    <row r="202" spans="1:3">
      <c r="A202" s="51" t="s">
        <v>288</v>
      </c>
      <c r="B202" s="52">
        <v>80000</v>
      </c>
      <c r="C202" s="5">
        <v>3.3133799897764048E-4</v>
      </c>
    </row>
    <row r="203" spans="1:3">
      <c r="A203" s="4" t="s">
        <v>1419</v>
      </c>
      <c r="B203" s="52">
        <v>78750</v>
      </c>
      <c r="C203" s="5">
        <v>3.2616084274361489E-4</v>
      </c>
    </row>
    <row r="204" spans="1:3">
      <c r="A204" s="51" t="s">
        <v>1421</v>
      </c>
      <c r="B204" s="52">
        <v>78750</v>
      </c>
      <c r="C204" s="5">
        <v>3.2616084274361489E-4</v>
      </c>
    </row>
    <row r="205" spans="1:3">
      <c r="A205" s="4" t="s">
        <v>453</v>
      </c>
      <c r="B205" s="52">
        <v>75784</v>
      </c>
      <c r="C205" s="5">
        <v>3.1387648643151886E-4</v>
      </c>
    </row>
    <row r="206" spans="1:3">
      <c r="A206" s="51" t="s">
        <v>454</v>
      </c>
      <c r="B206" s="52">
        <v>75784</v>
      </c>
      <c r="C206" s="5">
        <v>3.1387648643151886E-4</v>
      </c>
    </row>
    <row r="207" spans="1:3">
      <c r="A207" s="4" t="s">
        <v>828</v>
      </c>
      <c r="B207" s="52">
        <v>75453.05</v>
      </c>
      <c r="C207" s="5">
        <v>3.1250578254699826E-4</v>
      </c>
    </row>
    <row r="208" spans="1:3">
      <c r="A208" s="51" t="s">
        <v>829</v>
      </c>
      <c r="B208" s="52">
        <v>75453.05</v>
      </c>
      <c r="C208" s="5">
        <v>3.1250578254699826E-4</v>
      </c>
    </row>
    <row r="209" spans="1:3">
      <c r="A209" s="4" t="s">
        <v>824</v>
      </c>
      <c r="B209" s="52">
        <v>68599.51999999999</v>
      </c>
      <c r="C209" s="5">
        <v>2.8412034609533285E-4</v>
      </c>
    </row>
    <row r="210" spans="1:3">
      <c r="A210" s="51" t="s">
        <v>825</v>
      </c>
      <c r="B210" s="52">
        <v>68599.51999999999</v>
      </c>
      <c r="C210" s="5">
        <v>2.8412034609533285E-4</v>
      </c>
    </row>
    <row r="211" spans="1:3">
      <c r="A211" s="4" t="s">
        <v>1693</v>
      </c>
      <c r="B211" s="52">
        <v>65000</v>
      </c>
      <c r="C211" s="5">
        <v>2.6921212416933292E-4</v>
      </c>
    </row>
    <row r="212" spans="1:3">
      <c r="A212" s="51" t="s">
        <v>1695</v>
      </c>
      <c r="B212" s="52">
        <v>65000</v>
      </c>
      <c r="C212" s="5">
        <v>2.6921212416933292E-4</v>
      </c>
    </row>
    <row r="213" spans="1:3">
      <c r="A213" s="4" t="s">
        <v>174</v>
      </c>
      <c r="B213" s="52">
        <v>62000</v>
      </c>
      <c r="C213" s="5">
        <v>2.567869492076714E-4</v>
      </c>
    </row>
    <row r="214" spans="1:3">
      <c r="A214" s="51" t="s">
        <v>176</v>
      </c>
      <c r="B214" s="52">
        <v>62000</v>
      </c>
      <c r="C214" s="5">
        <v>2.567869492076714E-4</v>
      </c>
    </row>
    <row r="215" spans="1:3">
      <c r="A215" s="4" t="s">
        <v>1677</v>
      </c>
      <c r="B215" s="52">
        <v>61800</v>
      </c>
      <c r="C215" s="5">
        <v>2.5595860421022729E-4</v>
      </c>
    </row>
    <row r="216" spans="1:3">
      <c r="A216" s="51" t="s">
        <v>1678</v>
      </c>
      <c r="B216" s="52">
        <v>61800</v>
      </c>
      <c r="C216" s="5">
        <v>2.5595860421022729E-4</v>
      </c>
    </row>
    <row r="217" spans="1:3">
      <c r="A217" s="4" t="s">
        <v>524</v>
      </c>
      <c r="B217" s="52">
        <v>60000</v>
      </c>
      <c r="C217" s="5">
        <v>2.485034992332304E-4</v>
      </c>
    </row>
    <row r="218" spans="1:3">
      <c r="A218" s="51" t="s">
        <v>526</v>
      </c>
      <c r="B218" s="52">
        <v>60000</v>
      </c>
      <c r="C218" s="5">
        <v>2.485034992332304E-4</v>
      </c>
    </row>
    <row r="219" spans="1:3">
      <c r="A219" s="4" t="s">
        <v>644</v>
      </c>
      <c r="B219" s="52">
        <v>57000</v>
      </c>
      <c r="C219" s="5">
        <v>2.3607832427156885E-4</v>
      </c>
    </row>
    <row r="220" spans="1:3">
      <c r="A220" s="51" t="s">
        <v>645</v>
      </c>
      <c r="B220" s="52">
        <v>57000</v>
      </c>
      <c r="C220" s="5">
        <v>2.3607832427156885E-4</v>
      </c>
    </row>
    <row r="221" spans="1:3">
      <c r="A221" s="4" t="s">
        <v>1178</v>
      </c>
      <c r="B221" s="52">
        <v>56170</v>
      </c>
      <c r="C221" s="5">
        <v>2.3264069253217583E-4</v>
      </c>
    </row>
    <row r="222" spans="1:3">
      <c r="A222" s="51" t="s">
        <v>1179</v>
      </c>
      <c r="B222" s="52">
        <v>56170</v>
      </c>
      <c r="C222" s="5">
        <v>2.3264069253217583E-4</v>
      </c>
    </row>
    <row r="223" spans="1:3">
      <c r="A223" s="4" t="s">
        <v>1912</v>
      </c>
      <c r="B223" s="52">
        <v>55000</v>
      </c>
      <c r="C223" s="5">
        <v>2.2779487429712785E-4</v>
      </c>
    </row>
    <row r="224" spans="1:3">
      <c r="A224" s="51" t="s">
        <v>1913</v>
      </c>
      <c r="B224" s="52">
        <v>55000</v>
      </c>
      <c r="C224" s="5">
        <v>2.2779487429712785E-4</v>
      </c>
    </row>
    <row r="225" spans="1:3">
      <c r="A225" s="4" t="s">
        <v>97</v>
      </c>
      <c r="B225" s="52">
        <v>55000</v>
      </c>
      <c r="C225" s="5">
        <v>2.2779487429712785E-4</v>
      </c>
    </row>
    <row r="226" spans="1:3">
      <c r="A226" s="51" t="s">
        <v>99</v>
      </c>
      <c r="B226" s="52">
        <v>55000</v>
      </c>
      <c r="C226" s="5">
        <v>2.2779487429712785E-4</v>
      </c>
    </row>
    <row r="227" spans="1:3">
      <c r="A227" s="4" t="s">
        <v>78</v>
      </c>
      <c r="B227" s="52">
        <v>52200</v>
      </c>
      <c r="C227" s="5">
        <v>2.1619804433291044E-4</v>
      </c>
    </row>
    <row r="228" spans="1:3">
      <c r="A228" s="51" t="s">
        <v>80</v>
      </c>
      <c r="B228" s="52">
        <v>52200</v>
      </c>
      <c r="C228" s="5">
        <v>2.1619804433291044E-4</v>
      </c>
    </row>
    <row r="229" spans="1:3">
      <c r="A229" s="4" t="s">
        <v>150</v>
      </c>
      <c r="B229" s="52">
        <v>52060</v>
      </c>
      <c r="C229" s="5">
        <v>2.1561820283469955E-4</v>
      </c>
    </row>
    <row r="230" spans="1:3">
      <c r="A230" s="51" t="s">
        <v>151</v>
      </c>
      <c r="B230" s="52">
        <v>52060</v>
      </c>
      <c r="C230" s="5">
        <v>2.1561820283469955E-4</v>
      </c>
    </row>
    <row r="231" spans="1:3">
      <c r="A231" s="4" t="s">
        <v>1253</v>
      </c>
      <c r="B231" s="52">
        <v>51450</v>
      </c>
      <c r="C231" s="5">
        <v>2.1309175059249506E-4</v>
      </c>
    </row>
    <row r="232" spans="1:3">
      <c r="A232" s="51" t="s">
        <v>1255</v>
      </c>
      <c r="B232" s="52">
        <v>51450</v>
      </c>
      <c r="C232" s="5">
        <v>2.1309175059249506E-4</v>
      </c>
    </row>
    <row r="233" spans="1:3">
      <c r="A233" s="4" t="s">
        <v>1491</v>
      </c>
      <c r="B233" s="52">
        <v>50400</v>
      </c>
      <c r="C233" s="5">
        <v>2.0874293935591352E-4</v>
      </c>
    </row>
    <row r="234" spans="1:3">
      <c r="A234" s="51" t="s">
        <v>1492</v>
      </c>
      <c r="B234" s="52">
        <v>50400</v>
      </c>
      <c r="C234" s="5">
        <v>2.0874293935591352E-4</v>
      </c>
    </row>
    <row r="235" spans="1:3">
      <c r="A235" s="4" t="s">
        <v>507</v>
      </c>
      <c r="B235" s="52">
        <v>47200</v>
      </c>
      <c r="C235" s="5">
        <v>1.9548941939680789E-4</v>
      </c>
    </row>
    <row r="236" spans="1:3">
      <c r="A236" s="51" t="s">
        <v>508</v>
      </c>
      <c r="B236" s="52">
        <v>47200</v>
      </c>
      <c r="C236" s="5">
        <v>1.9548941939680789E-4</v>
      </c>
    </row>
    <row r="237" spans="1:3">
      <c r="A237" s="4" t="s">
        <v>1226</v>
      </c>
      <c r="B237" s="52">
        <v>46175</v>
      </c>
      <c r="C237" s="5">
        <v>1.9124415128490688E-4</v>
      </c>
    </row>
    <row r="238" spans="1:3">
      <c r="A238" s="51" t="s">
        <v>1227</v>
      </c>
      <c r="B238" s="52">
        <v>46175</v>
      </c>
      <c r="C238" s="5">
        <v>1.9124415128490688E-4</v>
      </c>
    </row>
    <row r="239" spans="1:3">
      <c r="A239" s="4" t="s">
        <v>471</v>
      </c>
      <c r="B239" s="52">
        <v>45579</v>
      </c>
      <c r="C239" s="5">
        <v>1.8877568319252346E-4</v>
      </c>
    </row>
    <row r="240" spans="1:3">
      <c r="A240" s="51" t="s">
        <v>473</v>
      </c>
      <c r="B240" s="52">
        <v>45579</v>
      </c>
      <c r="C240" s="5">
        <v>1.8877568319252346E-4</v>
      </c>
    </row>
    <row r="241" spans="1:3">
      <c r="A241" s="4" t="s">
        <v>1347</v>
      </c>
      <c r="B241" s="52">
        <v>44000</v>
      </c>
      <c r="C241" s="5">
        <v>1.8223589943770229E-4</v>
      </c>
    </row>
    <row r="242" spans="1:3">
      <c r="A242" s="51" t="s">
        <v>1348</v>
      </c>
      <c r="B242" s="52">
        <v>44000</v>
      </c>
      <c r="C242" s="5">
        <v>1.8223589943770229E-4</v>
      </c>
    </row>
    <row r="243" spans="1:3">
      <c r="A243" s="4" t="s">
        <v>258</v>
      </c>
      <c r="B243" s="52">
        <v>42000</v>
      </c>
      <c r="C243" s="5">
        <v>1.7395244946326126E-4</v>
      </c>
    </row>
    <row r="244" spans="1:3">
      <c r="A244" s="51" t="s">
        <v>259</v>
      </c>
      <c r="B244" s="52">
        <v>42000</v>
      </c>
      <c r="C244" s="5">
        <v>1.7395244946326126E-4</v>
      </c>
    </row>
    <row r="245" spans="1:3">
      <c r="A245" s="4" t="s">
        <v>2015</v>
      </c>
      <c r="B245" s="52">
        <v>38500</v>
      </c>
      <c r="C245" s="5">
        <v>1.5945641200798951E-4</v>
      </c>
    </row>
    <row r="246" spans="1:3">
      <c r="A246" s="51" t="s">
        <v>2017</v>
      </c>
      <c r="B246" s="52">
        <v>38500</v>
      </c>
      <c r="C246" s="5">
        <v>1.5945641200798951E-4</v>
      </c>
    </row>
    <row r="247" spans="1:3">
      <c r="A247" s="4" t="s">
        <v>1950</v>
      </c>
      <c r="B247" s="52">
        <v>36400</v>
      </c>
      <c r="C247" s="5">
        <v>1.5075878953482643E-4</v>
      </c>
    </row>
    <row r="248" spans="1:3">
      <c r="A248" s="51" t="s">
        <v>1951</v>
      </c>
      <c r="B248" s="52">
        <v>36400</v>
      </c>
      <c r="C248" s="5">
        <v>1.5075878953482643E-4</v>
      </c>
    </row>
    <row r="249" spans="1:3">
      <c r="A249" s="4" t="s">
        <v>1488</v>
      </c>
      <c r="B249" s="52">
        <v>36000</v>
      </c>
      <c r="C249" s="5">
        <v>1.4910209953993822E-4</v>
      </c>
    </row>
    <row r="250" spans="1:3">
      <c r="A250" s="51" t="s">
        <v>1489</v>
      </c>
      <c r="B250" s="52">
        <v>36000</v>
      </c>
      <c r="C250" s="5">
        <v>1.4910209953993822E-4</v>
      </c>
    </row>
    <row r="251" spans="1:3">
      <c r="A251" s="4" t="s">
        <v>702</v>
      </c>
      <c r="B251" s="52">
        <v>35000</v>
      </c>
      <c r="C251" s="5">
        <v>1.4496037455271772E-4</v>
      </c>
    </row>
    <row r="252" spans="1:3">
      <c r="A252" s="51" t="s">
        <v>703</v>
      </c>
      <c r="B252" s="52">
        <v>35000</v>
      </c>
      <c r="C252" s="5">
        <v>1.4496037455271772E-4</v>
      </c>
    </row>
    <row r="253" spans="1:3">
      <c r="A253" s="4" t="s">
        <v>2057</v>
      </c>
      <c r="B253" s="52">
        <v>35000</v>
      </c>
      <c r="C253" s="5">
        <v>1.4496037455271772E-4</v>
      </c>
    </row>
    <row r="254" spans="1:3">
      <c r="A254" s="51" t="s">
        <v>2059</v>
      </c>
      <c r="B254" s="52">
        <v>35000</v>
      </c>
      <c r="C254" s="5">
        <v>1.4496037455271772E-4</v>
      </c>
    </row>
    <row r="255" spans="1:3">
      <c r="A255" s="4" t="s">
        <v>638</v>
      </c>
      <c r="B255" s="52">
        <v>33500</v>
      </c>
      <c r="C255" s="5">
        <v>1.3874778707188696E-4</v>
      </c>
    </row>
    <row r="256" spans="1:3">
      <c r="A256" s="51" t="s">
        <v>640</v>
      </c>
      <c r="B256" s="52">
        <v>33500</v>
      </c>
      <c r="C256" s="5">
        <v>1.3874778707188696E-4</v>
      </c>
    </row>
    <row r="257" spans="1:3">
      <c r="A257" s="4" t="s">
        <v>1058</v>
      </c>
      <c r="B257" s="52">
        <v>33325</v>
      </c>
      <c r="C257" s="5">
        <v>1.3802298519912336E-4</v>
      </c>
    </row>
    <row r="258" spans="1:3">
      <c r="A258" s="51" t="s">
        <v>1059</v>
      </c>
      <c r="B258" s="52">
        <v>33325</v>
      </c>
      <c r="C258" s="5">
        <v>1.3802298519912336E-4</v>
      </c>
    </row>
    <row r="259" spans="1:3">
      <c r="A259" s="4" t="s">
        <v>562</v>
      </c>
      <c r="B259" s="52">
        <v>33000</v>
      </c>
      <c r="C259" s="5">
        <v>1.366769245782767E-4</v>
      </c>
    </row>
    <row r="260" spans="1:3">
      <c r="A260" s="51" t="s">
        <v>564</v>
      </c>
      <c r="B260" s="52">
        <v>33000</v>
      </c>
      <c r="C260" s="5">
        <v>1.366769245782767E-4</v>
      </c>
    </row>
    <row r="261" spans="1:3">
      <c r="A261" s="4" t="s">
        <v>425</v>
      </c>
      <c r="B261" s="52">
        <v>31000</v>
      </c>
      <c r="C261" s="5">
        <v>1.283934746038357E-4</v>
      </c>
    </row>
    <row r="262" spans="1:3">
      <c r="A262" s="51" t="s">
        <v>426</v>
      </c>
      <c r="B262" s="52">
        <v>31000</v>
      </c>
      <c r="C262" s="5">
        <v>1.283934746038357E-4</v>
      </c>
    </row>
    <row r="263" spans="1:3">
      <c r="A263" s="4" t="s">
        <v>1632</v>
      </c>
      <c r="B263" s="52">
        <v>30078</v>
      </c>
      <c r="C263" s="5">
        <v>1.2457480416561839E-4</v>
      </c>
    </row>
    <row r="264" spans="1:3">
      <c r="A264" s="51" t="s">
        <v>1633</v>
      </c>
      <c r="B264" s="52">
        <v>30078</v>
      </c>
      <c r="C264" s="5">
        <v>1.2457480416561839E-4</v>
      </c>
    </row>
    <row r="265" spans="1:3">
      <c r="A265" s="4" t="s">
        <v>2083</v>
      </c>
      <c r="B265" s="52">
        <v>29650</v>
      </c>
      <c r="C265" s="5">
        <v>1.22802145871088E-4</v>
      </c>
    </row>
    <row r="266" spans="1:3">
      <c r="A266" s="51" t="s">
        <v>2084</v>
      </c>
      <c r="B266" s="52">
        <v>29650</v>
      </c>
      <c r="C266" s="5">
        <v>1.22802145871088E-4</v>
      </c>
    </row>
    <row r="267" spans="1:3">
      <c r="A267" s="4" t="s">
        <v>232</v>
      </c>
      <c r="B267" s="52">
        <v>28000</v>
      </c>
      <c r="C267" s="5">
        <v>1.1596829964217418E-4</v>
      </c>
    </row>
    <row r="268" spans="1:3">
      <c r="A268" s="51" t="s">
        <v>234</v>
      </c>
      <c r="B268" s="52">
        <v>28000</v>
      </c>
      <c r="C268" s="5">
        <v>1.1596829964217418E-4</v>
      </c>
    </row>
    <row r="269" spans="1:3">
      <c r="A269" s="4" t="s">
        <v>364</v>
      </c>
      <c r="B269" s="52">
        <v>28000</v>
      </c>
      <c r="C269" s="5">
        <v>1.1596829964217418E-4</v>
      </c>
    </row>
    <row r="270" spans="1:3">
      <c r="A270" s="51" t="s">
        <v>365</v>
      </c>
      <c r="B270" s="52">
        <v>28000</v>
      </c>
      <c r="C270" s="5">
        <v>1.1596829964217418E-4</v>
      </c>
    </row>
    <row r="271" spans="1:3">
      <c r="A271" s="4" t="s">
        <v>267</v>
      </c>
      <c r="B271" s="52">
        <v>27000</v>
      </c>
      <c r="C271" s="5">
        <v>1.1182657465495368E-4</v>
      </c>
    </row>
    <row r="272" spans="1:3">
      <c r="A272" s="51" t="s">
        <v>269</v>
      </c>
      <c r="B272" s="52">
        <v>27000</v>
      </c>
      <c r="C272" s="5">
        <v>1.1182657465495368E-4</v>
      </c>
    </row>
    <row r="273" spans="1:3">
      <c r="A273" s="4" t="s">
        <v>800</v>
      </c>
      <c r="B273" s="52">
        <v>27000</v>
      </c>
      <c r="C273" s="5">
        <v>1.1182657465495368E-4</v>
      </c>
    </row>
    <row r="274" spans="1:3">
      <c r="A274" s="51" t="s">
        <v>801</v>
      </c>
      <c r="B274" s="52">
        <v>27000</v>
      </c>
      <c r="C274" s="5">
        <v>1.1182657465495368E-4</v>
      </c>
    </row>
    <row r="275" spans="1:3">
      <c r="A275" s="4" t="s">
        <v>2097</v>
      </c>
      <c r="B275" s="52">
        <v>25564</v>
      </c>
      <c r="C275" s="5">
        <v>1.0587905757330502E-4</v>
      </c>
    </row>
    <row r="276" spans="1:3">
      <c r="A276" s="51" t="s">
        <v>2099</v>
      </c>
      <c r="B276" s="52">
        <v>25564</v>
      </c>
      <c r="C276" s="5">
        <v>1.0587905757330502E-4</v>
      </c>
    </row>
    <row r="277" spans="1:3">
      <c r="A277" s="4" t="s">
        <v>1233</v>
      </c>
      <c r="B277" s="52">
        <v>25300</v>
      </c>
      <c r="C277" s="5">
        <v>1.0478564217667881E-4</v>
      </c>
    </row>
    <row r="278" spans="1:3">
      <c r="A278" s="51" t="s">
        <v>1234</v>
      </c>
      <c r="B278" s="52">
        <v>25300</v>
      </c>
      <c r="C278" s="5">
        <v>1.0478564217667881E-4</v>
      </c>
    </row>
    <row r="279" spans="1:3">
      <c r="A279" s="4" t="s">
        <v>519</v>
      </c>
      <c r="B279" s="52">
        <v>25000</v>
      </c>
      <c r="C279" s="5">
        <v>1.0354312468051265E-4</v>
      </c>
    </row>
    <row r="280" spans="1:3">
      <c r="A280" s="51" t="s">
        <v>521</v>
      </c>
      <c r="B280" s="52">
        <v>25000</v>
      </c>
      <c r="C280" s="5">
        <v>1.0354312468051265E-4</v>
      </c>
    </row>
    <row r="281" spans="1:3">
      <c r="A281" s="4" t="s">
        <v>432</v>
      </c>
      <c r="B281" s="52">
        <v>25000</v>
      </c>
      <c r="C281" s="5">
        <v>1.0354312468051265E-4</v>
      </c>
    </row>
    <row r="282" spans="1:3">
      <c r="A282" s="51" t="s">
        <v>433</v>
      </c>
      <c r="B282" s="52">
        <v>25000</v>
      </c>
      <c r="C282" s="5">
        <v>1.0354312468051265E-4</v>
      </c>
    </row>
    <row r="283" spans="1:3">
      <c r="A283" s="4" t="s">
        <v>720</v>
      </c>
      <c r="B283" s="52">
        <v>25000</v>
      </c>
      <c r="C283" s="5">
        <v>1.0354312468051265E-4</v>
      </c>
    </row>
    <row r="284" spans="1:3">
      <c r="A284" s="51" t="s">
        <v>722</v>
      </c>
      <c r="B284" s="52">
        <v>25000</v>
      </c>
      <c r="C284" s="5">
        <v>1.0354312468051265E-4</v>
      </c>
    </row>
    <row r="285" spans="1:3">
      <c r="A285" s="4" t="s">
        <v>1096</v>
      </c>
      <c r="B285" s="52">
        <v>24380</v>
      </c>
      <c r="C285" s="5">
        <v>1.0097525518843595E-4</v>
      </c>
    </row>
    <row r="286" spans="1:3">
      <c r="A286" s="51" t="s">
        <v>1098</v>
      </c>
      <c r="B286" s="52">
        <v>24380</v>
      </c>
      <c r="C286" s="5">
        <v>1.0097525518843595E-4</v>
      </c>
    </row>
    <row r="287" spans="1:3">
      <c r="A287" s="4" t="s">
        <v>1682</v>
      </c>
      <c r="B287" s="52">
        <v>24000</v>
      </c>
      <c r="C287" s="5">
        <v>9.9401399693292155E-5</v>
      </c>
    </row>
    <row r="288" spans="1:3">
      <c r="A288" s="51" t="s">
        <v>1683</v>
      </c>
      <c r="B288" s="52">
        <v>24000</v>
      </c>
      <c r="C288" s="5">
        <v>9.9401399693292155E-5</v>
      </c>
    </row>
    <row r="289" spans="1:3">
      <c r="A289" s="4" t="s">
        <v>1772</v>
      </c>
      <c r="B289" s="52">
        <v>23000</v>
      </c>
      <c r="C289" s="5">
        <v>9.5259674706071643E-5</v>
      </c>
    </row>
    <row r="290" spans="1:3">
      <c r="A290" s="51" t="s">
        <v>1773</v>
      </c>
      <c r="B290" s="52">
        <v>23000</v>
      </c>
      <c r="C290" s="5">
        <v>9.5259674706071643E-5</v>
      </c>
    </row>
    <row r="291" spans="1:3">
      <c r="A291" s="4" t="s">
        <v>2143</v>
      </c>
      <c r="B291" s="52">
        <v>22000</v>
      </c>
      <c r="C291" s="5">
        <v>9.1117949718851144E-5</v>
      </c>
    </row>
    <row r="292" spans="1:3">
      <c r="A292" s="51" t="s">
        <v>2144</v>
      </c>
      <c r="B292" s="52">
        <v>22000</v>
      </c>
      <c r="C292" s="5">
        <v>9.1117949718851144E-5</v>
      </c>
    </row>
    <row r="293" spans="1:3">
      <c r="A293" s="4" t="s">
        <v>1531</v>
      </c>
      <c r="B293" s="52">
        <v>22000</v>
      </c>
      <c r="C293" s="5">
        <v>9.1117949718851144E-5</v>
      </c>
    </row>
    <row r="294" spans="1:3">
      <c r="A294" s="51" t="s">
        <v>1532</v>
      </c>
      <c r="B294" s="52">
        <v>22000</v>
      </c>
      <c r="C294" s="5">
        <v>9.1117949718851144E-5</v>
      </c>
    </row>
    <row r="295" spans="1:3">
      <c r="A295" s="4" t="s">
        <v>712</v>
      </c>
      <c r="B295" s="52">
        <v>22000</v>
      </c>
      <c r="C295" s="5">
        <v>9.1117949718851144E-5</v>
      </c>
    </row>
    <row r="296" spans="1:3">
      <c r="A296" s="51" t="s">
        <v>713</v>
      </c>
      <c r="B296" s="52">
        <v>22000</v>
      </c>
      <c r="C296" s="5">
        <v>9.1117949718851144E-5</v>
      </c>
    </row>
    <row r="297" spans="1:3">
      <c r="A297" s="4" t="s">
        <v>1075</v>
      </c>
      <c r="B297" s="52">
        <v>21492</v>
      </c>
      <c r="C297" s="5">
        <v>8.901395342534312E-5</v>
      </c>
    </row>
    <row r="298" spans="1:3">
      <c r="A298" s="51" t="s">
        <v>1076</v>
      </c>
      <c r="B298" s="52">
        <v>21492</v>
      </c>
      <c r="C298" s="5">
        <v>8.901395342534312E-5</v>
      </c>
    </row>
    <row r="299" spans="1:3">
      <c r="A299" s="4" t="s">
        <v>946</v>
      </c>
      <c r="B299" s="52">
        <v>20000</v>
      </c>
      <c r="C299" s="5">
        <v>8.283449974441012E-5</v>
      </c>
    </row>
    <row r="300" spans="1:3">
      <c r="A300" s="51" t="s">
        <v>947</v>
      </c>
      <c r="B300" s="52">
        <v>20000</v>
      </c>
      <c r="C300" s="5">
        <v>8.283449974441012E-5</v>
      </c>
    </row>
    <row r="301" spans="1:3">
      <c r="A301" s="4" t="s">
        <v>293</v>
      </c>
      <c r="B301" s="52">
        <v>20000</v>
      </c>
      <c r="C301" s="5">
        <v>8.283449974441012E-5</v>
      </c>
    </row>
    <row r="302" spans="1:3">
      <c r="A302" s="51" t="s">
        <v>295</v>
      </c>
      <c r="B302" s="52">
        <v>20000</v>
      </c>
      <c r="C302" s="5">
        <v>8.283449974441012E-5</v>
      </c>
    </row>
    <row r="303" spans="1:3">
      <c r="A303" s="4" t="s">
        <v>655</v>
      </c>
      <c r="B303" s="52">
        <v>20000</v>
      </c>
      <c r="C303" s="5">
        <v>8.283449974441012E-5</v>
      </c>
    </row>
    <row r="304" spans="1:3">
      <c r="A304" s="51" t="s">
        <v>657</v>
      </c>
      <c r="B304" s="52">
        <v>20000</v>
      </c>
      <c r="C304" s="5">
        <v>8.283449974441012E-5</v>
      </c>
    </row>
    <row r="305" spans="1:3">
      <c r="A305" s="4" t="s">
        <v>381</v>
      </c>
      <c r="B305" s="52">
        <v>20000</v>
      </c>
      <c r="C305" s="5">
        <v>8.283449974441012E-5</v>
      </c>
    </row>
    <row r="306" spans="1:3">
      <c r="A306" s="51" t="s">
        <v>382</v>
      </c>
      <c r="B306" s="52">
        <v>20000</v>
      </c>
      <c r="C306" s="5">
        <v>8.283449974441012E-5</v>
      </c>
    </row>
    <row r="307" spans="1:3">
      <c r="A307" s="4" t="s">
        <v>499</v>
      </c>
      <c r="B307" s="52">
        <v>19000</v>
      </c>
      <c r="C307" s="5">
        <v>7.8692774757189621E-5</v>
      </c>
    </row>
    <row r="308" spans="1:3">
      <c r="A308" s="51" t="s">
        <v>501</v>
      </c>
      <c r="B308" s="52">
        <v>19000</v>
      </c>
      <c r="C308" s="5">
        <v>7.8692774757189621E-5</v>
      </c>
    </row>
    <row r="309" spans="1:3">
      <c r="A309" s="4" t="s">
        <v>134</v>
      </c>
      <c r="B309" s="52">
        <v>19000</v>
      </c>
      <c r="C309" s="5">
        <v>7.8692774757189621E-5</v>
      </c>
    </row>
    <row r="310" spans="1:3">
      <c r="A310" s="51" t="s">
        <v>136</v>
      </c>
      <c r="B310" s="52">
        <v>19000</v>
      </c>
      <c r="C310" s="5">
        <v>7.8692774757189621E-5</v>
      </c>
    </row>
    <row r="311" spans="1:3">
      <c r="A311" s="4" t="s">
        <v>1315</v>
      </c>
      <c r="B311" s="52">
        <v>18350</v>
      </c>
      <c r="C311" s="5">
        <v>7.6000653515496293E-5</v>
      </c>
    </row>
    <row r="312" spans="1:3">
      <c r="A312" s="51" t="s">
        <v>1316</v>
      </c>
      <c r="B312" s="52">
        <v>18350</v>
      </c>
      <c r="C312" s="5">
        <v>7.6000653515496293E-5</v>
      </c>
    </row>
    <row r="313" spans="1:3">
      <c r="A313" s="4" t="s">
        <v>1834</v>
      </c>
      <c r="B313" s="52">
        <v>18000</v>
      </c>
      <c r="C313" s="5">
        <v>7.4551049769969109E-5</v>
      </c>
    </row>
    <row r="314" spans="1:3">
      <c r="A314" s="51" t="s">
        <v>1835</v>
      </c>
      <c r="B314" s="52">
        <v>18000</v>
      </c>
      <c r="C314" s="5">
        <v>7.4551049769969109E-5</v>
      </c>
    </row>
    <row r="315" spans="1:3">
      <c r="A315" s="4" t="s">
        <v>1171</v>
      </c>
      <c r="B315" s="52">
        <v>17430</v>
      </c>
      <c r="C315" s="5">
        <v>7.2190266527253431E-5</v>
      </c>
    </row>
    <row r="316" spans="1:3">
      <c r="A316" s="51" t="s">
        <v>1172</v>
      </c>
      <c r="B316" s="52">
        <v>17430</v>
      </c>
      <c r="C316" s="5">
        <v>7.2190266527253431E-5</v>
      </c>
    </row>
    <row r="317" spans="1:3">
      <c r="A317" s="4" t="s">
        <v>601</v>
      </c>
      <c r="B317" s="52">
        <v>16400</v>
      </c>
      <c r="C317" s="5">
        <v>6.7924289790416309E-5</v>
      </c>
    </row>
    <row r="318" spans="1:3">
      <c r="A318" s="51" t="s">
        <v>602</v>
      </c>
      <c r="B318" s="52">
        <v>16400</v>
      </c>
      <c r="C318" s="5">
        <v>6.7924289790416309E-5</v>
      </c>
    </row>
    <row r="319" spans="1:3">
      <c r="A319" s="4" t="s">
        <v>589</v>
      </c>
      <c r="B319" s="52">
        <v>14778</v>
      </c>
      <c r="C319" s="5">
        <v>6.1206411861144646E-5</v>
      </c>
    </row>
    <row r="320" spans="1:3">
      <c r="A320" s="51" t="s">
        <v>591</v>
      </c>
      <c r="B320" s="52">
        <v>14778</v>
      </c>
      <c r="C320" s="5">
        <v>6.1206411861144646E-5</v>
      </c>
    </row>
    <row r="321" spans="1:3">
      <c r="A321" s="4" t="s">
        <v>1619</v>
      </c>
      <c r="B321" s="52">
        <v>14040</v>
      </c>
      <c r="C321" s="5">
        <v>5.8149818820575906E-5</v>
      </c>
    </row>
    <row r="322" spans="1:3">
      <c r="A322" s="51" t="s">
        <v>1621</v>
      </c>
      <c r="B322" s="52">
        <v>14040</v>
      </c>
      <c r="C322" s="5">
        <v>5.8149818820575906E-5</v>
      </c>
    </row>
    <row r="323" spans="1:3">
      <c r="A323" s="4" t="s">
        <v>510</v>
      </c>
      <c r="B323" s="52">
        <v>14000</v>
      </c>
      <c r="C323" s="5">
        <v>5.7984149821087088E-5</v>
      </c>
    </row>
    <row r="324" spans="1:3">
      <c r="A324" s="51" t="s">
        <v>512</v>
      </c>
      <c r="B324" s="52">
        <v>14000</v>
      </c>
      <c r="C324" s="5">
        <v>5.7984149821087088E-5</v>
      </c>
    </row>
    <row r="325" spans="1:3">
      <c r="A325" s="4" t="s">
        <v>1431</v>
      </c>
      <c r="B325" s="52">
        <v>13620</v>
      </c>
      <c r="C325" s="5">
        <v>5.6410294325943294E-5</v>
      </c>
    </row>
    <row r="326" spans="1:3">
      <c r="A326" s="51" t="s">
        <v>1432</v>
      </c>
      <c r="B326" s="52">
        <v>13620</v>
      </c>
      <c r="C326" s="5">
        <v>5.6410294325943294E-5</v>
      </c>
    </row>
    <row r="327" spans="1:3">
      <c r="A327" s="4" t="s">
        <v>1501</v>
      </c>
      <c r="B327" s="52">
        <v>13040</v>
      </c>
      <c r="C327" s="5">
        <v>5.4008093833355401E-5</v>
      </c>
    </row>
    <row r="328" spans="1:3">
      <c r="A328" s="51" t="s">
        <v>1502</v>
      </c>
      <c r="B328" s="52">
        <v>13040</v>
      </c>
      <c r="C328" s="5">
        <v>5.4008093833355401E-5</v>
      </c>
    </row>
    <row r="329" spans="1:3">
      <c r="A329" s="4" t="s">
        <v>956</v>
      </c>
      <c r="B329" s="52">
        <v>12832</v>
      </c>
      <c r="C329" s="5">
        <v>5.3146615036013535E-5</v>
      </c>
    </row>
    <row r="330" spans="1:3">
      <c r="A330" s="51" t="s">
        <v>957</v>
      </c>
      <c r="B330" s="52">
        <v>12832</v>
      </c>
      <c r="C330" s="5">
        <v>5.3146615036013535E-5</v>
      </c>
    </row>
    <row r="331" spans="1:3">
      <c r="A331" s="4" t="s">
        <v>1757</v>
      </c>
      <c r="B331" s="52">
        <v>11000</v>
      </c>
      <c r="C331" s="5">
        <v>4.5558974859425572E-5</v>
      </c>
    </row>
    <row r="332" spans="1:3">
      <c r="A332" s="51" t="s">
        <v>1758</v>
      </c>
      <c r="B332" s="52">
        <v>11000</v>
      </c>
      <c r="C332" s="5">
        <v>4.5558974859425572E-5</v>
      </c>
    </row>
    <row r="333" spans="1:3">
      <c r="A333" s="4" t="s">
        <v>664</v>
      </c>
      <c r="B333" s="52">
        <v>10893</v>
      </c>
      <c r="C333" s="5">
        <v>4.5115810285792975E-5</v>
      </c>
    </row>
    <row r="334" spans="1:3">
      <c r="A334" s="51" t="s">
        <v>666</v>
      </c>
      <c r="B334" s="52">
        <v>10893</v>
      </c>
      <c r="C334" s="5">
        <v>4.5115810285792975E-5</v>
      </c>
    </row>
    <row r="335" spans="1:3">
      <c r="A335" s="4" t="s">
        <v>1545</v>
      </c>
      <c r="B335" s="52">
        <v>10890</v>
      </c>
      <c r="C335" s="5">
        <v>4.5103385110831312E-5</v>
      </c>
    </row>
    <row r="336" spans="1:3">
      <c r="A336" s="51" t="s">
        <v>1546</v>
      </c>
      <c r="B336" s="52">
        <v>10890</v>
      </c>
      <c r="C336" s="5">
        <v>4.5103385110831312E-5</v>
      </c>
    </row>
    <row r="337" spans="1:3">
      <c r="A337" s="4" t="s">
        <v>145</v>
      </c>
      <c r="B337" s="52">
        <v>10500</v>
      </c>
      <c r="C337" s="5">
        <v>4.3488112365815316E-5</v>
      </c>
    </row>
    <row r="338" spans="1:3">
      <c r="A338" s="51" t="s">
        <v>147</v>
      </c>
      <c r="B338" s="52">
        <v>10500</v>
      </c>
      <c r="C338" s="5">
        <v>4.3488112365815316E-5</v>
      </c>
    </row>
    <row r="339" spans="1:3">
      <c r="A339" s="4" t="s">
        <v>863</v>
      </c>
      <c r="B339" s="52">
        <v>10180</v>
      </c>
      <c r="C339" s="5">
        <v>4.2162760369904756E-5</v>
      </c>
    </row>
    <row r="340" spans="1:3">
      <c r="A340" s="51" t="s">
        <v>865</v>
      </c>
      <c r="B340" s="52">
        <v>10180</v>
      </c>
      <c r="C340" s="5">
        <v>4.2162760369904756E-5</v>
      </c>
    </row>
    <row r="341" spans="1:3">
      <c r="A341" s="4" t="s">
        <v>725</v>
      </c>
      <c r="B341" s="52">
        <v>10000</v>
      </c>
      <c r="C341" s="5">
        <v>4.141724987220506E-5</v>
      </c>
    </row>
    <row r="342" spans="1:3">
      <c r="A342" s="51" t="s">
        <v>727</v>
      </c>
      <c r="B342" s="52">
        <v>10000</v>
      </c>
      <c r="C342" s="5">
        <v>4.141724987220506E-5</v>
      </c>
    </row>
    <row r="343" spans="1:3">
      <c r="A343" s="4" t="s">
        <v>809</v>
      </c>
      <c r="B343" s="52">
        <v>9732.14</v>
      </c>
      <c r="C343" s="5">
        <v>4.0307847417128174E-5</v>
      </c>
    </row>
    <row r="344" spans="1:3">
      <c r="A344" s="51" t="s">
        <v>811</v>
      </c>
      <c r="B344" s="52">
        <v>9732.14</v>
      </c>
      <c r="C344" s="5">
        <v>4.0307847417128174E-5</v>
      </c>
    </row>
    <row r="345" spans="1:3">
      <c r="A345" s="4" t="s">
        <v>670</v>
      </c>
      <c r="B345" s="52">
        <v>8850</v>
      </c>
      <c r="C345" s="5">
        <v>3.6654266136901483E-5</v>
      </c>
    </row>
    <row r="346" spans="1:3">
      <c r="A346" s="51" t="s">
        <v>671</v>
      </c>
      <c r="B346" s="52">
        <v>8850</v>
      </c>
      <c r="C346" s="5">
        <v>3.6654266136901483E-5</v>
      </c>
    </row>
    <row r="347" spans="1:3">
      <c r="A347" s="4" t="s">
        <v>67</v>
      </c>
      <c r="B347" s="52">
        <v>8225</v>
      </c>
      <c r="C347" s="5">
        <v>3.4065688019888668E-5</v>
      </c>
    </row>
    <row r="348" spans="1:3">
      <c r="A348" s="51" t="s">
        <v>69</v>
      </c>
      <c r="B348" s="52">
        <v>8225</v>
      </c>
      <c r="C348" s="5">
        <v>3.4065688019888668E-5</v>
      </c>
    </row>
    <row r="349" spans="1:3">
      <c r="A349" s="4" t="s">
        <v>998</v>
      </c>
      <c r="B349" s="52">
        <v>8132</v>
      </c>
      <c r="C349" s="5">
        <v>3.3680507596077159E-5</v>
      </c>
    </row>
    <row r="350" spans="1:3">
      <c r="A350" s="51" t="s">
        <v>1000</v>
      </c>
      <c r="B350" s="52">
        <v>8132</v>
      </c>
      <c r="C350" s="5">
        <v>3.3680507596077159E-5</v>
      </c>
    </row>
    <row r="351" spans="1:3">
      <c r="A351" s="4" t="s">
        <v>1211</v>
      </c>
      <c r="B351" s="52">
        <v>7000</v>
      </c>
      <c r="C351" s="5">
        <v>2.8992074910543544E-5</v>
      </c>
    </row>
    <row r="352" spans="1:3">
      <c r="A352" s="51" t="s">
        <v>1213</v>
      </c>
      <c r="B352" s="52">
        <v>7000</v>
      </c>
      <c r="C352" s="5">
        <v>2.8992074910543544E-5</v>
      </c>
    </row>
    <row r="353" spans="1:3">
      <c r="A353" s="4" t="s">
        <v>1382</v>
      </c>
      <c r="B353" s="52">
        <v>6751.6900000000005</v>
      </c>
      <c r="C353" s="5">
        <v>2.7963643178966822E-5</v>
      </c>
    </row>
    <row r="354" spans="1:3">
      <c r="A354" s="51" t="s">
        <v>1384</v>
      </c>
      <c r="B354" s="52">
        <v>6751.6900000000005</v>
      </c>
      <c r="C354" s="5">
        <v>2.7963643178966822E-5</v>
      </c>
    </row>
    <row r="355" spans="1:3">
      <c r="A355" s="4" t="s">
        <v>207</v>
      </c>
      <c r="B355" s="52">
        <v>6650</v>
      </c>
      <c r="C355" s="5">
        <v>2.7542471165016367E-5</v>
      </c>
    </row>
    <row r="356" spans="1:3">
      <c r="A356" s="51" t="s">
        <v>209</v>
      </c>
      <c r="B356" s="52">
        <v>6650</v>
      </c>
      <c r="C356" s="5">
        <v>2.7542471165016367E-5</v>
      </c>
    </row>
    <row r="357" spans="1:3">
      <c r="A357" s="4" t="s">
        <v>745</v>
      </c>
      <c r="B357" s="52">
        <v>6000</v>
      </c>
      <c r="C357" s="5">
        <v>2.4850349923323039E-5</v>
      </c>
    </row>
    <row r="358" spans="1:3">
      <c r="A358" s="51" t="s">
        <v>747</v>
      </c>
      <c r="B358" s="52">
        <v>6000</v>
      </c>
      <c r="C358" s="5">
        <v>2.4850349923323039E-5</v>
      </c>
    </row>
    <row r="359" spans="1:3">
      <c r="A359" s="4" t="s">
        <v>544</v>
      </c>
      <c r="B359" s="52">
        <v>5998</v>
      </c>
      <c r="C359" s="5">
        <v>2.4842066473348598E-5</v>
      </c>
    </row>
    <row r="360" spans="1:3">
      <c r="A360" s="51" t="s">
        <v>546</v>
      </c>
      <c r="B360" s="52">
        <v>5998</v>
      </c>
      <c r="C360" s="5">
        <v>2.4842066473348598E-5</v>
      </c>
    </row>
    <row r="361" spans="1:3">
      <c r="A361" s="4" t="s">
        <v>558</v>
      </c>
      <c r="B361" s="52">
        <v>5320</v>
      </c>
      <c r="C361" s="5">
        <v>2.2033976932013093E-5</v>
      </c>
    </row>
    <row r="362" spans="1:3">
      <c r="A362" s="51" t="s">
        <v>560</v>
      </c>
      <c r="B362" s="52">
        <v>5320</v>
      </c>
      <c r="C362" s="5">
        <v>2.2033976932013093E-5</v>
      </c>
    </row>
    <row r="363" spans="1:3">
      <c r="A363" s="4" t="s">
        <v>1042</v>
      </c>
      <c r="B363" s="52">
        <v>5000</v>
      </c>
      <c r="C363" s="5">
        <v>2.070862493610253E-5</v>
      </c>
    </row>
    <row r="364" spans="1:3">
      <c r="A364" s="51" t="s">
        <v>1044</v>
      </c>
      <c r="B364" s="52">
        <v>5000</v>
      </c>
      <c r="C364" s="5">
        <v>2.070862493610253E-5</v>
      </c>
    </row>
    <row r="365" spans="1:3">
      <c r="A365" s="4" t="s">
        <v>1976</v>
      </c>
      <c r="B365" s="52">
        <v>4904</v>
      </c>
      <c r="C365" s="5">
        <v>2.0311019337329365E-5</v>
      </c>
    </row>
    <row r="366" spans="1:3">
      <c r="A366" s="51" t="s">
        <v>1977</v>
      </c>
      <c r="B366" s="52">
        <v>4904</v>
      </c>
      <c r="C366" s="5">
        <v>2.0311019337329365E-5</v>
      </c>
    </row>
    <row r="367" spans="1:3">
      <c r="A367" s="4" t="s">
        <v>1340</v>
      </c>
      <c r="B367" s="52">
        <v>4485</v>
      </c>
      <c r="C367" s="5">
        <v>1.8575636567683972E-5</v>
      </c>
    </row>
    <row r="368" spans="1:3">
      <c r="A368" s="51" t="s">
        <v>1341</v>
      </c>
      <c r="B368" s="52">
        <v>4485</v>
      </c>
      <c r="C368" s="5">
        <v>1.8575636567683972E-5</v>
      </c>
    </row>
    <row r="369" spans="1:3">
      <c r="A369" s="4" t="s">
        <v>61</v>
      </c>
      <c r="B369" s="52">
        <v>4400</v>
      </c>
      <c r="C369" s="5">
        <v>1.8223589943770228E-5</v>
      </c>
    </row>
    <row r="370" spans="1:3">
      <c r="A370" s="51" t="s">
        <v>63</v>
      </c>
      <c r="B370" s="52">
        <v>4400</v>
      </c>
      <c r="C370" s="5">
        <v>1.8223589943770228E-5</v>
      </c>
    </row>
    <row r="371" spans="1:3">
      <c r="A371" s="4" t="s">
        <v>693</v>
      </c>
      <c r="B371" s="52">
        <v>4272</v>
      </c>
      <c r="C371" s="5">
        <v>1.7693449145406002E-5</v>
      </c>
    </row>
    <row r="372" spans="1:3">
      <c r="A372" s="51" t="s">
        <v>694</v>
      </c>
      <c r="B372" s="52">
        <v>4272</v>
      </c>
      <c r="C372" s="5">
        <v>1.7693449145406002E-5</v>
      </c>
    </row>
    <row r="373" spans="1:3">
      <c r="A373" s="4" t="s">
        <v>1939</v>
      </c>
      <c r="B373" s="52">
        <v>3907.5</v>
      </c>
      <c r="C373" s="5">
        <v>1.6183790387564128E-5</v>
      </c>
    </row>
    <row r="374" spans="1:3">
      <c r="A374" s="51" t="s">
        <v>1940</v>
      </c>
      <c r="B374" s="52">
        <v>3907.5</v>
      </c>
      <c r="C374" s="5">
        <v>1.6183790387564128E-5</v>
      </c>
    </row>
    <row r="375" spans="1:3">
      <c r="A375" s="4" t="s">
        <v>420</v>
      </c>
      <c r="B375" s="52">
        <v>3835.24</v>
      </c>
      <c r="C375" s="5">
        <v>1.5884509339987575E-5</v>
      </c>
    </row>
    <row r="376" spans="1:3">
      <c r="A376" s="51" t="s">
        <v>422</v>
      </c>
      <c r="B376" s="52">
        <v>3835.24</v>
      </c>
      <c r="C376" s="5">
        <v>1.5884509339987575E-5</v>
      </c>
    </row>
    <row r="377" spans="1:3">
      <c r="A377" s="4" t="s">
        <v>83</v>
      </c>
      <c r="B377" s="52">
        <v>3510</v>
      </c>
      <c r="C377" s="5">
        <v>1.4537454705143977E-5</v>
      </c>
    </row>
    <row r="378" spans="1:3">
      <c r="A378" s="51" t="s">
        <v>85</v>
      </c>
      <c r="B378" s="52">
        <v>3510</v>
      </c>
      <c r="C378" s="5">
        <v>1.4537454705143977E-5</v>
      </c>
    </row>
    <row r="379" spans="1:3">
      <c r="A379" s="4" t="s">
        <v>1087</v>
      </c>
      <c r="B379" s="52">
        <v>3370</v>
      </c>
      <c r="C379" s="5">
        <v>1.3957613206933106E-5</v>
      </c>
    </row>
    <row r="380" spans="1:3">
      <c r="A380" s="51" t="s">
        <v>1088</v>
      </c>
      <c r="B380" s="52">
        <v>3370</v>
      </c>
      <c r="C380" s="5">
        <v>1.3957613206933106E-5</v>
      </c>
    </row>
    <row r="381" spans="1:3">
      <c r="A381" s="4" t="s">
        <v>1244</v>
      </c>
      <c r="B381" s="52">
        <v>3330</v>
      </c>
      <c r="C381" s="5">
        <v>1.3791944207444286E-5</v>
      </c>
    </row>
    <row r="382" spans="1:3">
      <c r="A382" s="51" t="s">
        <v>1246</v>
      </c>
      <c r="B382" s="52">
        <v>3330</v>
      </c>
      <c r="C382" s="5">
        <v>1.3791944207444286E-5</v>
      </c>
    </row>
    <row r="383" spans="1:3">
      <c r="A383" s="4" t="s">
        <v>374</v>
      </c>
      <c r="B383" s="52">
        <v>3096.18</v>
      </c>
      <c r="C383" s="5">
        <v>1.2823526070932387E-5</v>
      </c>
    </row>
    <row r="384" spans="1:3">
      <c r="A384" s="51" t="s">
        <v>376</v>
      </c>
      <c r="B384" s="52">
        <v>3096.18</v>
      </c>
      <c r="C384" s="5">
        <v>1.2823526070932387E-5</v>
      </c>
    </row>
    <row r="385" spans="1:3">
      <c r="A385" s="4" t="s">
        <v>1406</v>
      </c>
      <c r="B385" s="52">
        <v>2958</v>
      </c>
      <c r="C385" s="5">
        <v>1.2251222512198257E-5</v>
      </c>
    </row>
    <row r="386" spans="1:3">
      <c r="A386" s="51" t="s">
        <v>1407</v>
      </c>
      <c r="B386" s="52">
        <v>2958</v>
      </c>
      <c r="C386" s="5">
        <v>1.2251222512198257E-5</v>
      </c>
    </row>
    <row r="387" spans="1:3">
      <c r="A387" s="4" t="s">
        <v>92</v>
      </c>
      <c r="B387" s="52">
        <v>2590</v>
      </c>
      <c r="C387" s="5">
        <v>1.0727067716901111E-5</v>
      </c>
    </row>
    <row r="388" spans="1:3">
      <c r="A388" s="51" t="s">
        <v>94</v>
      </c>
      <c r="B388" s="52">
        <v>2590</v>
      </c>
      <c r="C388" s="5">
        <v>1.0727067716901111E-5</v>
      </c>
    </row>
    <row r="389" spans="1:3">
      <c r="A389" s="4" t="s">
        <v>1353</v>
      </c>
      <c r="B389" s="52">
        <v>1780</v>
      </c>
      <c r="C389" s="5">
        <v>7.3722704772525014E-6</v>
      </c>
    </row>
    <row r="390" spans="1:3">
      <c r="A390" s="51" t="s">
        <v>1355</v>
      </c>
      <c r="B390" s="52">
        <v>1780</v>
      </c>
      <c r="C390" s="5">
        <v>7.3722704772525014E-6</v>
      </c>
    </row>
    <row r="391" spans="1:3">
      <c r="A391" s="6" t="s">
        <v>2565</v>
      </c>
      <c r="B391" s="52">
        <v>241445292.26000002</v>
      </c>
      <c r="C391" s="5">
        <v>1</v>
      </c>
    </row>
    <row r="392" spans="1:3">
      <c r="B392"/>
      <c r="C392"/>
    </row>
    <row r="393" spans="1:3">
      <c r="B393"/>
      <c r="C393"/>
    </row>
  </sheetData>
  <autoFilter ref="A4:C393" xr:uid="{00000000-0009-0000-0000-000004000000}"/>
  <pageMargins left="0.7" right="0.7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13"/>
  <sheetViews>
    <sheetView tabSelected="1" workbookViewId="0">
      <selection activeCell="F29" sqref="F29"/>
    </sheetView>
  </sheetViews>
  <sheetFormatPr defaultColWidth="9.140625" defaultRowHeight="15"/>
  <sheetData>
    <row r="2" spans="1:1" ht="16.149999999999999" customHeight="1">
      <c r="A2" s="1" t="s">
        <v>2568</v>
      </c>
    </row>
    <row r="3" spans="1:1">
      <c r="A3" t="s">
        <v>2569</v>
      </c>
    </row>
    <row r="4" spans="1:1">
      <c r="A4" t="s">
        <v>2570</v>
      </c>
    </row>
    <row r="5" spans="1:1">
      <c r="A5" t="s">
        <v>2571</v>
      </c>
    </row>
    <row r="6" spans="1:1">
      <c r="A6" t="s">
        <v>2572</v>
      </c>
    </row>
    <row r="7" spans="1:1">
      <c r="A7" t="s">
        <v>2573</v>
      </c>
    </row>
    <row r="8" spans="1:1">
      <c r="A8" t="s">
        <v>2574</v>
      </c>
    </row>
    <row r="9" spans="1:1">
      <c r="A9" t="s">
        <v>2575</v>
      </c>
    </row>
    <row r="10" spans="1:1">
      <c r="A10" s="2" t="s">
        <v>2576</v>
      </c>
    </row>
    <row r="11" spans="1:1">
      <c r="A11" t="s">
        <v>2577</v>
      </c>
    </row>
    <row r="12" spans="1:1">
      <c r="A12" t="s">
        <v>2578</v>
      </c>
    </row>
    <row r="13" spans="1:1">
      <c r="A13" t="s">
        <v>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общая информация</vt:lpstr>
      <vt:lpstr>Книга покупок</vt:lpstr>
      <vt:lpstr>Книга продаж</vt:lpstr>
      <vt:lpstr>свод.продажи</vt:lpstr>
      <vt:lpstr>свод.покупки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Пользователь</cp:lastModifiedBy>
  <dcterms:created xsi:type="dcterms:W3CDTF">2015-06-05T18:19:00Z</dcterms:created>
  <dcterms:modified xsi:type="dcterms:W3CDTF">2026-05-27T16:41:37Z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DF63AA6139D44C20AE8E2CFA61C3853A_12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